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13_ncr:1_{8366277E-7919-42BC-8486-3724C8C2A83E}"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s>
  <definedNames>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2">LifeExpectancyData[[Adult Mortality]:[Schooling]]</definedName>
    <definedName name="Allow_Intercept" localSheetId="2">Regression!$B$2</definedName>
    <definedName name="alpha" localSheetId="2">Regression!$M$12</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2">_xlfn.LAMBDA(_xlpm.All_Xs,_xlop.Filter,_xlfn.LET(_xlpm.n,COLUMNS(_xlpm.All_Xs),_xlpm.headers,TRANSPOSE(OFFSET(_xlpm.All_Xs,-1,0,1,_xlpm.n)),IF(_xlfn.ISOMITTED(_xlpm.Filter),_xlpm.headers,IFERROR(_xlfn._xlws.FILTER(_xlpm.headers,_xlfn.TAKE(_xlpm.Filter,_xlpm.n)),_xlfn.TAKE(_xlpm.headers,1)))))</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pendent_Var">_xlfn.LAMBDA(_xlpm.Y,_xlop.Filter,_xlfn._xlws.FILTER(_xlpm.Y,IF(_xlfn.ISOMITTED(_xlpm.Filter),TRUE,_xlpm.Filter)))</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il" localSheetId="2">LifeExpectancyData[Full_Data]</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Ind_Var_Filter" localSheetId="2">Regression!$B$3:$B$16000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2">Regression!$U$12:INDEX(Regression!$U:$U,12+COLUMNS(Regression!x_s))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f,_xlpm.yf,_xlop.Filter,_xlfn.LET(_xlpm.baseFilter,IF(_xlfn.ISOMITTED(_xlpm.Filter),TRUE,_xlpm.Filter),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2">_xlfn.LET(_xlpm.n,COLUMNS(Regression!All_Xs),_xlpm.sel,IFERROR(_xlfn._xlws.FILTER(_xlfn.SEQUENCE(_xlpm.n),_xlfn.TAKE(Regression!Ind_Var_Filter,_xlpm.n)),1),_xlfn.CHOOSECOLS(Regression!All_Xs,_xlpm.sel))</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3" i="3" l="1" a="1"/>
  <c r="F3" i="3" s="1"/>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R21" i="3" a="1"/>
  <c r="R21" i="3" s="1"/>
  <c r="Q21" i="3" a="1"/>
  <c r="Q21" i="3" s="1"/>
  <c r="P21" i="3" a="1"/>
  <c r="P21" i="3" s="1"/>
  <c r="O21" i="3" a="1"/>
  <c r="O21" i="3" s="1"/>
  <c r="N21" i="3" a="1"/>
  <c r="N21" i="3" s="1"/>
  <c r="M21" i="3" a="1"/>
  <c r="M21" i="3" s="1"/>
  <c r="L21" i="3" a="1"/>
  <c r="L21" i="3" s="1"/>
  <c r="N17" i="3" a="1"/>
  <c r="N17" i="3"/>
  <c r="M17" i="3" a="1"/>
  <c r="M17" i="3"/>
  <c r="O16" i="3" a="1"/>
  <c r="O16" i="3" s="1"/>
  <c r="N16" i="3" a="1"/>
  <c r="N16" i="3" s="1"/>
  <c r="M16" i="3" a="1"/>
  <c r="M16" i="3" s="1"/>
  <c r="Q15" i="3" a="1"/>
  <c r="Q15" i="3" s="1"/>
  <c r="P15" i="3" a="1"/>
  <c r="P15" i="3" s="1"/>
  <c r="O15" i="3" a="1"/>
  <c r="O15" i="3" s="1"/>
  <c r="N15" i="3" a="1"/>
  <c r="N15" i="3" s="1"/>
  <c r="M15" i="3" a="1"/>
  <c r="M15" i="3" s="1"/>
  <c r="T13" i="3" a="1"/>
  <c r="T13" i="3" s="1"/>
  <c r="U12" i="3"/>
  <c r="P10" i="3" a="1"/>
  <c r="P10" i="3" s="1"/>
  <c r="P9" i="3" a="1"/>
  <c r="P9" i="3" s="1"/>
  <c r="U8" i="3" a="1"/>
  <c r="U8" i="3" s="1"/>
  <c r="P8" i="3" a="1"/>
  <c r="P8" i="3" s="1"/>
  <c r="M8" i="3" a="1"/>
  <c r="M8" i="3"/>
  <c r="U7" i="3" a="1"/>
  <c r="U7" i="3" s="1"/>
  <c r="P7" i="3" a="1"/>
  <c r="P7" i="3" s="1"/>
  <c r="M7" i="3" a="1"/>
  <c r="M7" i="3" s="1"/>
  <c r="U6" i="3" a="1"/>
  <c r="U6" i="3" s="1"/>
  <c r="P6" i="3" a="1"/>
  <c r="P6" i="3" s="1"/>
  <c r="M6" i="3" a="1"/>
  <c r="M6" i="3" s="1"/>
  <c r="U5" i="3" a="1"/>
  <c r="U5" i="3" s="1"/>
  <c r="P5" i="3" a="1"/>
  <c r="P5" i="3" s="1"/>
  <c r="M5" i="3" a="1"/>
  <c r="M5" i="3" s="1"/>
  <c r="U4" i="3" a="1"/>
  <c r="U4" i="3" s="1"/>
  <c r="P4" i="3" a="1"/>
  <c r="P4" i="3" s="1"/>
  <c r="M4" i="3" a="1"/>
  <c r="M4" i="3" s="1"/>
  <c r="AE3" i="3" a="1"/>
  <c r="AE3" i="3" s="1"/>
  <c r="AD3" i="3" a="1"/>
  <c r="AD3" i="3"/>
  <c r="AC3" i="3" a="1"/>
  <c r="AC3" i="3" s="1"/>
  <c r="AB3" i="3" a="1"/>
  <c r="AB3" i="3" s="1"/>
  <c r="AA3" i="3" a="1"/>
  <c r="AA3" i="3" s="1"/>
  <c r="Z3" i="3" a="1"/>
  <c r="Z3" i="3" s="1"/>
  <c r="Y3" i="3" a="1"/>
  <c r="Y3" i="3" s="1"/>
  <c r="X3" i="3" a="1"/>
  <c r="X3" i="3" s="1"/>
  <c r="W3" i="3" a="1"/>
  <c r="W3" i="3"/>
  <c r="U3" i="3" a="1"/>
  <c r="U3" i="3" s="1"/>
  <c r="J3" i="3" a="1"/>
  <c r="J3" i="3" s="1"/>
  <c r="I3" i="3" a="1"/>
  <c r="I3" i="3" s="1"/>
  <c r="H3" i="3" a="1"/>
  <c r="H3" i="3" s="1"/>
  <c r="G3" i="3" a="1"/>
  <c r="G3" i="3" s="1"/>
  <c r="E3" i="3" a="1"/>
  <c r="E3" i="3" s="1"/>
  <c r="D3" i="3" a="1"/>
  <c r="D3" i="3" s="1"/>
  <c r="A3" i="3" a="1"/>
  <c r="A3"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<sst xmlns="http://schemas.openxmlformats.org/spreadsheetml/2006/main" count="6258" uniqueCount="524">
  <si>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</si>
  <si>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</si>
  <si>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</si>
  <si>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</si>
  <si>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</si>
  <si>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</si>
  <si>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</si>
  <si>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</si>
  <si>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</si>
  <si>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</si>
  <si>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</si>
  <si>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</si>
  <si>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</si>
  <si>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</si>
  <si>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</si>
  <si>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</si>
  <si>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</si>
  <si>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</si>
  <si>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</si>
  <si>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</si>
  <si>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</si>
  <si>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</si>
  <si>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</si>
  <si>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</si>
  <si>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</si>
  <si>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</si>
  <si>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</si>
  <si>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</si>
  <si>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</si>
  <si>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</si>
  <si>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</si>
  <si>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</si>
  <si>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</si>
  <si>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</si>
  <si>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</si>
  <si>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</si>
  <si>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</si>
  <si>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</si>
  <si>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</si>
  <si>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</si>
  <si>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</si>
  <si>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</si>
  <si>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</si>
  <si>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</si>
  <si>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</si>
  <si>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</si>
  <si>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</si>
  <si>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</si>
  <si>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</si>
  <si>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</si>
  <si>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</si>
  <si>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</si>
  <si>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</si>
  <si>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</si>
  <si>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</si>
  <si>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</si>
  <si>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</si>
  <si>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</si>
  <si>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</si>
  <si>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</si>
  <si>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</si>
  <si>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</si>
  <si>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</si>
  <si>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</si>
  <si>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</si>
  <si>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</si>
  <si>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</si>
  <si>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</si>
  <si>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</si>
  <si>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</si>
  <si>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</si>
  <si>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</si>
  <si>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</si>
  <si>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</si>
  <si>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</si>
  <si>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</si>
  <si>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</si>
  <si>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</si>
  <si>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</si>
  <si>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</si>
  <si>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</si>
  <si>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</si>
  <si>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</si>
  <si>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</si>
  <si>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</si>
  <si>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</si>
  <si>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</si>
  <si>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</si>
  <si>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</si>
  <si>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</si>
  <si>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</si>
  <si>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</si>
  <si>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</si>
  <si>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</si>
  <si>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</si>
  <si>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</si>
  <si>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</si>
  <si>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</si>
  <si>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</si>
  <si>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</si>
  <si>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</si>
  <si>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</si>
  <si>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</si>
  <si>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</si>
  <si>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</si>
  <si>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</si>
  <si>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</si>
  <si>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</si>
  <si>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</si>
  <si>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</si>
  <si>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</si>
  <si>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</si>
  <si>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</si>
  <si>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</si>
  <si>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</si>
  <si>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</si>
  <si>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</si>
  <si>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</si>
  <si>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</si>
  <si>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</si>
  <si>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</si>
  <si>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</si>
  <si>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</si>
  <si>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</si>
  <si>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</si>
  <si>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</si>
  <si>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</si>
  <si>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</si>
  <si>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</si>
  <si>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</si>
  <si>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</si>
  <si>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</si>
  <si>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</si>
  <si>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</si>
  <si>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</si>
  <si>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</si>
  <si>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</si>
  <si>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</si>
  <si>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</si>
  <si>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</si>
  <si>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</si>
  <si>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</si>
  <si>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</si>
  <si>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</si>
  <si>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</si>
  <si>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</si>
  <si>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</si>
  <si>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</si>
  <si>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</si>
  <si>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</si>
  <si>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</si>
  <si>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</si>
  <si>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</si>
  <si>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</si>
  <si>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</si>
  <si>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</si>
  <si>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</si>
  <si>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</si>
  <si>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</si>
  <si>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</si>
  <si>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</si>
  <si>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</si>
  <si>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</si>
  <si>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</si>
  <si>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</si>
  <si>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</si>
  <si>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</si>
  <si>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</si>
  <si>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</si>
  <si>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</si>
  <si>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</si>
  <si>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</si>
  <si>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</si>
  <si>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</si>
  <si>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</si>
  <si>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</si>
  <si>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</si>
  <si>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</si>
  <si>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</si>
  <si>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</si>
  <si>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</si>
  <si>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</si>
  <si>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</si>
  <si>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</si>
  <si>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</si>
  <si>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</si>
  <si>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</si>
  <si>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</si>
  <si>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</si>
  <si>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</si>
  <si>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</si>
  <si>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</si>
  <si>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</si>
  <si>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</si>
  <si>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</si>
  <si>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</si>
  <si>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</si>
  <si>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</si>
  <si>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</si>
  <si>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</si>
  <si>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</si>
  <si>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</si>
  <si>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</si>
  <si>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</si>
  <si>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</si>
  <si>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</si>
  <si>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</si>
  <si>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</si>
  <si>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</si>
  <si>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</si>
  <si>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</si>
  <si>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</si>
  <si>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</si>
  <si>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</si>
  <si>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</si>
  <si>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</si>
  <si>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</si>
  <si>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</si>
  <si>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</si>
  <si>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</si>
  <si>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</si>
  <si>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</si>
  <si>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</si>
  <si>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</si>
  <si>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</si>
  <si>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</si>
  <si>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</si>
  <si>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</si>
  <si>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</si>
  <si>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</si>
  <si>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</si>
  <si>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</si>
  <si>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</si>
  <si>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</si>
  <si>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</si>
  <si>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</si>
  <si>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</si>
  <si>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</si>
  <si>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</si>
  <si>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</si>
  <si>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</si>
  <si>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</si>
  <si>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</si>
  <si>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</si>
  <si>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</si>
  <si>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</si>
  <si>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</si>
  <si>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</si>
  <si>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</si>
  <si>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</si>
  <si>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</si>
  <si>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</si>
  <si>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</si>
  <si>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</si>
  <si>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</si>
  <si>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</si>
  <si>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</si>
  <si>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</si>
  <si>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</si>
  <si>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</si>
  <si>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</si>
  <si>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</si>
  <si>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</si>
  <si>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</si>
  <si>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</si>
  <si>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</si>
  <si>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</si>
  <si>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</si>
  <si>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</si>
  <si>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</si>
  <si>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</si>
  <si>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</si>
  <si>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</si>
  <si>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</si>
  <si>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</si>
  <si>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</si>
  <si>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</si>
  <si>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</si>
  <si>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</si>
  <si>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</si>
  <si>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</si>
  <si>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</si>
  <si>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</si>
  <si>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</si>
  <si>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</si>
  <si>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</si>
  <si>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</si>
  <si>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</si>
  <si>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</si>
  <si>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</si>
  <si>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</si>
  <si>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</si>
  <si>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</si>
  <si>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</si>
  <si>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</si>
  <si>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</si>
  <si>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</si>
  <si>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</si>
  <si>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</si>
  <si>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</si>
  <si>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</si>
  <si>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</si>
  <si>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</si>
  <si>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</si>
  <si>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</si>
  <si>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</si>
  <si>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</si>
  <si>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</si>
  <si>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</si>
  <si>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</si>
  <si>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</si>
  <si>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</si>
  <si>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</si>
  <si>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</si>
  <si>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</si>
  <si>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</si>
  <si>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</si>
  <si>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</si>
  <si>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</si>
  <si>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</si>
  <si>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</si>
  <si>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</si>
  <si>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</si>
  <si>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</si>
  <si>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</si>
  <si>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</si>
  <si>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</si>
  <si>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</si>
  <si>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</si>
  <si>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</si>
  <si>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</si>
  <si>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</si>
  <si>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</si>
  <si>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</si>
  <si>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</si>
  <si>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</si>
  <si>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</si>
  <si>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</si>
  <si>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</si>
  <si>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</si>
  <si>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</si>
  <si>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</si>
  <si>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</si>
  <si>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</si>
  <si>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</si>
  <si>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</si>
  <si>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</si>
  <si>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</si>
  <si>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</si>
  <si>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</si>
  <si>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</si>
  <si>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</si>
  <si>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</si>
  <si>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</si>
  <si>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</si>
  <si>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</si>
  <si>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</si>
  <si>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</si>
  <si>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</si>
  <si>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</si>
  <si>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</si>
  <si>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</si>
  <si>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</si>
  <si>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</si>
  <si>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</si>
  <si>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</si>
  <si>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</si>
  <si>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</si>
  <si>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</si>
  <si>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</si>
  <si>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</si>
  <si>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</si>
  <si>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</si>
  <si>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</si>
  <si>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</si>
  <si>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</si>
  <si>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</si>
  <si>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</si>
  <si>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</si>
  <si>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</si>
  <si>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</si>
  <si>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</si>
  <si>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</si>
  <si>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</si>
  <si>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</si>
  <si>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</si>
  <si>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</si>
  <si>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</si>
  <si>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</si>
  <si>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</si>
  <si>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</si>
  <si>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</si>
  <si>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</si>
  <si>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</si>
  <si>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</si>
  <si>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</si>
  <si>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</si>
  <si>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</si>
  <si>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</si>
  <si>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</si>
  <si>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</si>
  <si>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</si>
  <si>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</si>
  <si>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</si>
  <si>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</si>
  <si>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</si>
  <si>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</si>
  <si>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</si>
  <si>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</si>
  <si>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</si>
  <si>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</si>
  <si>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</si>
  <si>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</si>
  <si>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</si>
  <si>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</si>
  <si>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</si>
  <si>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</si>
  <si>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</si>
  <si>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</si>
  <si>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</si>
  <si>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</si>
  <si>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</si>
  <si>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</si>
  <si>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</si>
  <si>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</si>
  <si>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</si>
  <si>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</si>
  <si>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</si>
  <si>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</si>
  <si>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</si>
  <si>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</si>
  <si>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</si>
  <si>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</si>
  <si>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</si>
  <si>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</si>
  <si>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</si>
  <si>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</si>
  <si>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</si>
  <si>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</si>
  <si>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</si>
  <si>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</si>
  <si>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</si>
  <si>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</si>
  <si>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</si>
  <si>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</si>
  <si>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</si>
  <si>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</si>
  <si>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</si>
  <si>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</si>
  <si>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</si>
  <si>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</si>
  <si>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</si>
  <si>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</si>
  <si>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</si>
  <si>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</si>
  <si>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</si>
  <si>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</si>
  <si>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</si>
  <si>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</si>
  <si>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</si>
  <si>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</si>
  <si>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</si>
  <si>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</si>
  <si>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</si>
  <si>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</si>
  <si>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</si>
  <si>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</si>
  <si>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</si>
  <si>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</si>
  <si>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</si>
  <si>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</si>
  <si>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</si>
  <si>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</si>
  <si>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</si>
  <si>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</si>
  <si>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</si>
  <si>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</si>
  <si>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</si>
  <si>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</si>
  <si>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</si>
  <si>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</si>
  <si>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</si>
  <si>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</si>
  <si>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</si>
  <si>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</si>
  <si>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</si>
  <si>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</si>
  <si>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</si>
  <si>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</si>
  <si>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</si>
  <si>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</si>
  <si>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</si>
  <si>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</si>
  <si>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</si>
  <si>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</si>
  <si>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</si>
  <si>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</si>
  <si>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</si>
  <si>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</si>
  <si>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</si>
  <si>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</si>
  <si>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</si>
  <si>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</si>
  <si>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</si>
  <si>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</si>
  <si>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</si>
  <si>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</si>
  <si>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</si>
  <si>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</si>
  <si>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Predicted Y</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</si>
  <si>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</si>
  <si>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</si>
  <si>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</si>
  <si>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</si>
  <si>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</si>
  <si>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</si>
  <si>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</si>
  <si>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Dependent_Var</t>
  </si>
  <si>
    <t>Returns the dependent-variable vector used by residual and diagnostic outputs.</t>
  </si>
  <si>
    <t>Y</t>
  </si>
  <si>
    <t>LOOCV Residual</t>
  </si>
  <si>
    <t>Normal Scores Ranked</t>
  </si>
  <si>
    <t>=LAMBDA(Y, [Filter],
  FILTER(Y, IF(ISOMITTED(Filter), TRUE, Filter))
)</t>
  </si>
  <si>
    <t>filtered dependent variable vector (all rows when Filter is omitted)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</si>
</sst>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CAEDFB"/>
        <bgColor indexed="64"/>
      </patternFill>
    </fill>
    <fill>
      <patternFill patternType="solid">
        <fgColor rgb="FFFBE2D5"/>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18">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0" fillId="0" borderId="8" xfId="0" applyBorder="1"/>
    <xf numFmtId="0" fontId="1" fillId="0" borderId="6" xfId="0" applyFont="1" applyBorder="1"/>
    <xf numFmtId="0" fontId="1" fillId="2" borderId="0" xfId="0" applyFont="1" applyFill="1"/>
    <xf numFmtId="0" fontId="0" fillId="3" borderId="0" xfId="0" applyFill="1"/>
    <xf numFmtId="0" fontId="1" fillId="2" borderId="7" xfId="0" applyFont="1" applyFill="1" applyBorder="1"/>
  </cellXfs>
  <cellStyles count="1">
    <cellStyle name="Normal" xfId="0" builtinId="0"/>
  </cellStyles>
  <dxfs count="20">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A585707-58AF-443B-A0C5-082B21F5B646}" name="LAMBDAFunctionsCatalog" displayName="LAMBDAFunctionsCatalog" ref="A1:E59" totalsRowShown="0" headerRowDxfId="19" dataDxfId="18">
  <autoFilter ref="A1:E59" xr:uid="{BA585707-58AF-443B-A0C5-082B21F5B646}"/>
  <tableColumns count="5">
    <tableColumn id="1" xr3:uid="{E8509B54-BF78-4E8B-8BD0-13BF6B999442}" name="Function Name" dataDxfId="17"/>
    <tableColumn id="2" xr3:uid="{4A3A3AD3-FBD3-422C-BE0B-8B49EE9F492C}" name="Definition" dataDxfId="16"/>
    <tableColumn id="3" xr3:uid="{5F532E4A-F6F2-415F-9E1C-9AE5F684D6B0}" name="Arguments" dataDxfId="15"/>
    <tableColumn id="4" xr3:uid="{04922E00-786D-4F62-A4AC-859DD75D401D}" name="Yields" dataDxfId="14"/>
    <tableColumn id="5" xr3:uid="{A421416D-F05F-4ABF-8AB2-69CF826F04F4}" name="Descripti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EA5E4D-F2D0-4A53-812A-4B28E8BCCCDF}" name="LifeExpectancyData" displayName="LifeExpectancyData" ref="A1:W2939" totalsRowShown="0">
  <autoFilter ref="A1:W2939" xr:uid="{73EA5E4D-F2D0-4A53-812A-4B28E8BCCCDF}"/>
  <tableColumns count="23">
    <tableColumn id="1" xr3:uid="{FEE715B9-5FE1-4EDD-BF77-669F25675314}" name="Country"/>
    <tableColumn id="2" xr3:uid="{64EE597A-2C94-49DF-AA13-069890AFBD7B}" name="Year"/>
    <tableColumn id="3" xr3:uid="{CEE59822-5E69-4DA7-A301-A50C18553AC4}" name="Status"/>
    <tableColumn id="4" xr3:uid="{9C644DD8-1F48-4423-8D9F-D1AB8405F78C}" name="Life expectancy"/>
    <tableColumn id="5" xr3:uid="{FC74A6B9-6A0B-4EEA-9680-9B54239670B3}" name="Adult Mortality"/>
    <tableColumn id="6" xr3:uid="{4609039B-5C94-4CD3-91C7-C6295D2E2EEA}" name="infant deaths"/>
    <tableColumn id="7" xr3:uid="{675A0739-0673-4342-818F-75B5CDCD7C72}" name="Alcohol"/>
    <tableColumn id="8" xr3:uid="{9D48ADF9-CEF1-477E-B599-9071CEC0D536}" name="percentage expenditure"/>
    <tableColumn id="9" xr3:uid="{67CFB517-6535-4392-95DC-A9AC85507FF9}" name="Hepatitis B"/>
    <tableColumn id="10" xr3:uid="{88754C64-A869-4022-AABB-44EA314CFCD4}" name="Measles"/>
    <tableColumn id="11" xr3:uid="{CAC7E64B-D73C-42E3-8874-1E0D257001AF}" name="BMI"/>
    <tableColumn id="12" xr3:uid="{D622C6E1-DB2B-41C1-9115-A5EA7920800D}" name="under-five deaths"/>
    <tableColumn id="13" xr3:uid="{086250C1-A965-41F7-97C4-7E3B43EF5195}" name="Polio"/>
    <tableColumn id="14" xr3:uid="{E14F6C3B-D949-4ED0-8CC7-777798164410}" name="Total expenditure"/>
    <tableColumn id="15" xr3:uid="{6BE2A1E9-0ECE-4C40-B834-94D73DA82475}" name="Diphtheria"/>
    <tableColumn id="16" xr3:uid="{B48C5367-3F25-4466-AC99-F6487C629AB2}" name="HIV/AIDS"/>
    <tableColumn id="17" xr3:uid="{232D4C17-56BF-4D0A-945E-4AD82A04CCB6}" name="GDP"/>
    <tableColumn id="18" xr3:uid="{99798258-098C-41B2-A1F8-C4C379886A7D}" name="Population"/>
    <tableColumn id="19" xr3:uid="{0E4C1027-A71F-4102-B955-6027156D072F}" name="thinness 1-19 years"/>
    <tableColumn id="20" xr3:uid="{6F755ECB-90DF-4FD1-AEFB-791AC9D44DA4}" name="thinness 5-9 years"/>
    <tableColumn id="21" xr3:uid="{99EC1CD8-ABE7-49F3-8954-22217A239EFB}" name="Income composition of resources"/>
    <tableColumn id="22" xr3:uid="{6BC8AC4C-6AB0-435D-A3CE-188D1F4C669C}" name="Schooling"/>
    <tableColumn id="23" xr3:uid="{8D2A90AC-4172-43E9-9594-CC0CB0624D5C}"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59"/>
  <sheetViews>
    <sheetView workbookViewId="0">
      <pane ySplit="1" topLeftCell="A56" activePane="bottomLeft" state="frozenSplit"/>
      <selection pane="bottomLeft" activeCell="E57" sqref="E57"/>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75" x14ac:dyDescent="0.25">
      <c r="A35" s="2" t="s">
        <v>517</v>
      </c>
      <c r="B35" s="1" t="s">
        <v>522</v>
      </c>
      <c r="C35" s="2" t="s">
        <v>7</v>
      </c>
      <c r="D35" s="2" t="s">
        <v>523</v>
      </c>
      <c r="E35" s="2" t="s">
        <v>518</v>
      </c>
    </row>
    <row r="36" spans="1:5" ht="120" x14ac:dyDescent="0.25">
      <c r="A36" s="2" t="s">
        <v>145</v>
      </c>
      <c r="B36" s="1" t="s">
        <v>146</v>
      </c>
      <c r="C36" s="2" t="s">
        <v>7</v>
      </c>
      <c r="D36" s="2" t="s">
        <v>147</v>
      </c>
      <c r="E36" s="2" t="s">
        <v>148</v>
      </c>
    </row>
    <row r="37" spans="1:5" ht="165" x14ac:dyDescent="0.25">
      <c r="A37" s="2" t="s">
        <v>149</v>
      </c>
      <c r="B37" s="1" t="s">
        <v>150</v>
      </c>
      <c r="C37" s="2" t="s">
        <v>151</v>
      </c>
      <c r="D37" s="2" t="s">
        <v>152</v>
      </c>
      <c r="E37" s="2" t="s">
        <v>153</v>
      </c>
    </row>
    <row r="38" spans="1:5" ht="105" x14ac:dyDescent="0.25">
      <c r="A38" s="2" t="s">
        <v>154</v>
      </c>
      <c r="B38" s="1" t="s">
        <v>155</v>
      </c>
      <c r="C38" s="2" t="s">
        <v>156</v>
      </c>
      <c r="D38" s="2" t="s">
        <v>157</v>
      </c>
      <c r="E38" s="2" t="s">
        <v>158</v>
      </c>
    </row>
    <row r="39" spans="1:5" ht="135" x14ac:dyDescent="0.25">
      <c r="A39" s="2" t="s">
        <v>159</v>
      </c>
      <c r="B39" s="1" t="s">
        <v>160</v>
      </c>
      <c r="C39" s="2" t="s">
        <v>22</v>
      </c>
      <c r="D39" s="2" t="s">
        <v>161</v>
      </c>
      <c r="E39" s="2" t="s">
        <v>162</v>
      </c>
    </row>
    <row r="40" spans="1:5" ht="120" x14ac:dyDescent="0.25">
      <c r="A40" s="2" t="s">
        <v>163</v>
      </c>
      <c r="B40" s="1" t="s">
        <v>164</v>
      </c>
      <c r="C40" s="2" t="s">
        <v>22</v>
      </c>
      <c r="D40" s="2" t="s">
        <v>165</v>
      </c>
      <c r="E40" s="2" t="s">
        <v>166</v>
      </c>
    </row>
    <row r="41" spans="1:5" ht="120" x14ac:dyDescent="0.25">
      <c r="A41" s="2" t="s">
        <v>167</v>
      </c>
      <c r="B41" s="1" t="s">
        <v>168</v>
      </c>
      <c r="C41" s="2" t="s">
        <v>22</v>
      </c>
      <c r="D41" s="2" t="s">
        <v>169</v>
      </c>
      <c r="E41" s="2" t="s">
        <v>170</v>
      </c>
    </row>
    <row r="42" spans="1:5" ht="105" x14ac:dyDescent="0.25">
      <c r="A42" s="2" t="s">
        <v>171</v>
      </c>
      <c r="B42" s="1" t="s">
        <v>172</v>
      </c>
      <c r="C42" s="2" t="s">
        <v>173</v>
      </c>
      <c r="D42" s="2" t="s">
        <v>174</v>
      </c>
      <c r="E42" s="2" t="s">
        <v>175</v>
      </c>
    </row>
    <row r="43" spans="1:5" ht="210" x14ac:dyDescent="0.25">
      <c r="A43" s="2" t="s">
        <v>176</v>
      </c>
      <c r="B43" s="1" t="s">
        <v>177</v>
      </c>
      <c r="C43" s="2" t="s">
        <v>178</v>
      </c>
      <c r="D43" s="2" t="s">
        <v>179</v>
      </c>
      <c r="E43" s="2" t="s">
        <v>180</v>
      </c>
    </row>
    <row r="44" spans="1:5" ht="195" x14ac:dyDescent="0.25">
      <c r="A44" s="2" t="s">
        <v>181</v>
      </c>
      <c r="B44" s="1" t="s">
        <v>182</v>
      </c>
      <c r="C44" s="2" t="s">
        <v>183</v>
      </c>
      <c r="D44" s="2" t="s">
        <v>184</v>
      </c>
      <c r="E44" s="2" t="s">
        <v>185</v>
      </c>
    </row>
    <row r="45" spans="1:5" ht="150" x14ac:dyDescent="0.25">
      <c r="A45" s="2" t="s">
        <v>186</v>
      </c>
      <c r="B45" s="1" t="s">
        <v>187</v>
      </c>
      <c r="C45" s="2" t="s">
        <v>22</v>
      </c>
      <c r="D45" s="2" t="s">
        <v>188</v>
      </c>
      <c r="E45" s="2" t="s">
        <v>189</v>
      </c>
    </row>
    <row r="46" spans="1:5" ht="150" x14ac:dyDescent="0.25">
      <c r="A46" s="2" t="s">
        <v>190</v>
      </c>
      <c r="B46" s="1" t="s">
        <v>191</v>
      </c>
      <c r="C46" s="2" t="s">
        <v>151</v>
      </c>
      <c r="D46" s="2" t="s">
        <v>192</v>
      </c>
      <c r="E46" s="2" t="s">
        <v>193</v>
      </c>
    </row>
    <row r="47" spans="1:5" ht="135" x14ac:dyDescent="0.25">
      <c r="A47" s="2" t="s">
        <v>194</v>
      </c>
      <c r="B47" s="1" t="s">
        <v>195</v>
      </c>
      <c r="C47" s="2" t="s">
        <v>22</v>
      </c>
      <c r="D47" s="2" t="s">
        <v>196</v>
      </c>
      <c r="E47" s="2" t="s">
        <v>197</v>
      </c>
    </row>
    <row r="48" spans="1:5" ht="120" x14ac:dyDescent="0.25">
      <c r="A48" s="2" t="s">
        <v>198</v>
      </c>
      <c r="B48" s="1" t="s">
        <v>199</v>
      </c>
      <c r="C48" s="2" t="s">
        <v>22</v>
      </c>
      <c r="D48" s="2" t="s">
        <v>200</v>
      </c>
      <c r="E48" s="2" t="s">
        <v>201</v>
      </c>
    </row>
    <row r="49" spans="1:5" ht="135" x14ac:dyDescent="0.25">
      <c r="A49" s="2" t="s">
        <v>202</v>
      </c>
      <c r="B49" s="1" t="s">
        <v>203</v>
      </c>
      <c r="C49" s="2" t="s">
        <v>22</v>
      </c>
      <c r="D49" s="2" t="s">
        <v>204</v>
      </c>
      <c r="E49" s="2" t="s">
        <v>205</v>
      </c>
    </row>
    <row r="50" spans="1:5" ht="120" x14ac:dyDescent="0.25">
      <c r="A50" s="2" t="s">
        <v>206</v>
      </c>
      <c r="B50" s="1" t="s">
        <v>207</v>
      </c>
      <c r="C50" s="2" t="s">
        <v>22</v>
      </c>
      <c r="D50" s="2" t="s">
        <v>208</v>
      </c>
      <c r="E50" s="2" t="s">
        <v>209</v>
      </c>
    </row>
    <row r="51" spans="1:5" ht="135" x14ac:dyDescent="0.25">
      <c r="A51" s="2" t="s">
        <v>210</v>
      </c>
      <c r="B51" s="1" t="s">
        <v>211</v>
      </c>
      <c r="C51" s="2" t="s">
        <v>212</v>
      </c>
      <c r="D51" s="2" t="s">
        <v>213</v>
      </c>
      <c r="E51" s="2" t="s">
        <v>214</v>
      </c>
    </row>
    <row r="52" spans="1:5" ht="150" x14ac:dyDescent="0.25">
      <c r="A52" s="2" t="s">
        <v>215</v>
      </c>
      <c r="B52" s="1" t="s">
        <v>216</v>
      </c>
      <c r="C52" s="2" t="s">
        <v>217</v>
      </c>
      <c r="D52" s="2" t="s">
        <v>218</v>
      </c>
      <c r="E52" s="2" t="s">
        <v>219</v>
      </c>
    </row>
    <row r="53" spans="1:5" ht="150" x14ac:dyDescent="0.25">
      <c r="A53" s="2" t="s">
        <v>220</v>
      </c>
      <c r="B53" s="1" t="s">
        <v>221</v>
      </c>
      <c r="C53" s="2" t="s">
        <v>222</v>
      </c>
      <c r="D53" s="2" t="s">
        <v>223</v>
      </c>
      <c r="E53" s="2" t="s">
        <v>224</v>
      </c>
    </row>
    <row r="54" spans="1:5" ht="315" x14ac:dyDescent="0.25">
      <c r="A54" s="2" t="s">
        <v>225</v>
      </c>
      <c r="B54" s="1" t="s">
        <v>514</v>
      </c>
      <c r="C54" s="2" t="s">
        <v>515</v>
      </c>
      <c r="D54" s="2" t="s">
        <v>226</v>
      </c>
      <c r="E54" s="2" t="s">
        <v>516</v>
      </c>
    </row>
    <row r="55" spans="1:5" ht="135" x14ac:dyDescent="0.25">
      <c r="A55" s="2" t="s">
        <v>227</v>
      </c>
      <c r="B55" s="1" t="s">
        <v>228</v>
      </c>
      <c r="C55" s="2" t="s">
        <v>229</v>
      </c>
      <c r="D55" s="2" t="s">
        <v>230</v>
      </c>
      <c r="E55" s="2" t="s">
        <v>231</v>
      </c>
    </row>
    <row r="56" spans="1:5" ht="150" x14ac:dyDescent="0.25">
      <c r="A56" s="2" t="s">
        <v>232</v>
      </c>
      <c r="B56" s="1" t="s">
        <v>233</v>
      </c>
      <c r="C56" s="2" t="s">
        <v>229</v>
      </c>
      <c r="D56" s="2" t="s">
        <v>234</v>
      </c>
      <c r="E56" s="2" t="s">
        <v>235</v>
      </c>
    </row>
    <row r="57" spans="1:5" ht="165" x14ac:dyDescent="0.25">
      <c r="A57" s="2" t="s">
        <v>236</v>
      </c>
      <c r="B57" s="1" t="s">
        <v>237</v>
      </c>
      <c r="C57" s="2" t="s">
        <v>22</v>
      </c>
      <c r="D57" s="2" t="s">
        <v>238</v>
      </c>
      <c r="E57" s="2" t="s">
        <v>239</v>
      </c>
    </row>
    <row r="58" spans="1:5" ht="150" x14ac:dyDescent="0.25">
      <c r="A58" s="2" t="s">
        <v>240</v>
      </c>
      <c r="B58" s="1" t="s">
        <v>241</v>
      </c>
      <c r="C58" s="2" t="s">
        <v>22</v>
      </c>
      <c r="D58" s="2" t="s">
        <v>242</v>
      </c>
      <c r="E58" s="2" t="s">
        <v>243</v>
      </c>
    </row>
    <row r="59" spans="1:5" ht="150" x14ac:dyDescent="0.25">
      <c r="A59" s="2" t="s">
        <v>244</v>
      </c>
      <c r="B59" s="1" t="s">
        <v>245</v>
      </c>
      <c r="C59" s="2" t="s">
        <v>246</v>
      </c>
      <c r="D59" s="2" t="s">
        <v>247</v>
      </c>
      <c r="E59"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topLeftCell="I1" workbookViewId="0">
      <pane ySplit="1" topLeftCell="A2" activePane="bottomLeft" state="frozenSplit"/>
      <selection activeCell="I1" sqref="I1"/>
      <selection pane="bottomLeft" activeCell="W3" sqref="W3"/>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E1651"/>
  <sheetViews>
    <sheetView tabSelected="1" topLeftCell="N1" zoomScaleNormal="100" workbookViewId="0">
      <pane ySplit="2" topLeftCell="A3" activePane="bottomLeft" state="frozenSplit"/>
      <selection pane="bottomLeft" activeCell="F3" sqref="F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20.7109375" customWidth="1"/>
    <col min="21" max="21" width="14.7109375" customWidth="1"/>
    <col min="22" max="22" width="2.7109375" customWidth="1"/>
    <col min="23" max="23" width="18.7109375" customWidth="1"/>
    <col min="24" max="24" width="12.7109375" customWidth="1"/>
    <col min="25" max="25" width="14.7109375" customWidth="1"/>
    <col min="26" max="26" width="12.7109375" customWidth="1"/>
    <col min="27" max="28" width="14.7109375" customWidth="1"/>
    <col min="29" max="29" width="22.7109375" customWidth="1"/>
    <col min="30" max="30" width="14.7109375" customWidth="1"/>
    <col min="31" max="31" width="22.7109375" customWidth="1"/>
    <col min="32" max="32" width="26.7109375" customWidth="1"/>
    <col min="33" max="33" width="22.7109375" customWidth="1"/>
    <col min="34" max="34" width="26.7109375" customWidth="1"/>
    <col min="35" max="35" width="14.7109375" customWidth="1"/>
  </cols>
  <sheetData>
    <row r="1" spans="1:31" x14ac:dyDescent="0.25">
      <c r="A1" s="15" t="s">
        <v>467</v>
      </c>
      <c r="B1" s="3" t="s">
        <v>468</v>
      </c>
      <c r="D1" s="15" t="s">
        <v>470</v>
      </c>
      <c r="L1" s="15" t="s">
        <v>473</v>
      </c>
      <c r="T1" s="17" t="s">
        <v>499</v>
      </c>
      <c r="U1" s="8"/>
      <c r="W1" s="15" t="s">
        <v>508</v>
      </c>
    </row>
    <row r="2" spans="1:31" x14ac:dyDescent="0.25">
      <c r="A2" t="s">
        <v>469</v>
      </c>
      <c r="B2" s="16" t="b">
        <v>1</v>
      </c>
      <c r="D2" s="3"/>
      <c r="E2" s="3" t="s">
        <v>471</v>
      </c>
      <c r="F2" s="3" t="s">
        <v>472</v>
      </c>
      <c r="G2" s="3" t="s">
        <v>227</v>
      </c>
      <c r="H2" s="3" t="s">
        <v>232</v>
      </c>
      <c r="I2" s="3" t="s">
        <v>118</v>
      </c>
      <c r="J2" s="3" t="s">
        <v>123</v>
      </c>
      <c r="T2" s="14" t="s">
        <v>500</v>
      </c>
      <c r="U2" s="9"/>
      <c r="W2" s="3" t="s">
        <v>519</v>
      </c>
      <c r="X2" s="3" t="s">
        <v>509</v>
      </c>
      <c r="Y2" s="3" t="s">
        <v>163</v>
      </c>
      <c r="Z2" s="3" t="s">
        <v>520</v>
      </c>
      <c r="AA2" s="3" t="s">
        <v>510</v>
      </c>
      <c r="AB2" s="3" t="s">
        <v>511</v>
      </c>
      <c r="AC2" s="3" t="s">
        <v>513</v>
      </c>
      <c r="AD2" s="3" t="s">
        <v>521</v>
      </c>
      <c r="AE2" s="3" t="s">
        <v>512</v>
      </c>
    </row>
    <row r="3" spans="1:31" x14ac:dyDescent="0.25">
      <c r="A3" t="str" cm="1">
        <f t="array" aca="1" ref="A3:A20" ca="1">Coefficient_Name_Col(All_Xs)</f>
        <v>Adult Mortality</v>
      </c>
      <c r="B3" s="16" t="b">
        <v>1</v>
      </c>
      <c r="D3" t="str" cm="1">
        <f t="array" aca="1" ref="D3:D12" ca="1">Coefficient_Name_Col(All_Xs,Ind_Var_Filter)</f>
        <v>Adult Mortality</v>
      </c>
      <c r="E3" s="4" cm="1">
        <f t="array" ref="E3:E12">Pearson_R(x_s,y,fil)</f>
        <v>-0.70252306230697348</v>
      </c>
      <c r="F3" s="4" cm="1">
        <f t="array" ref="F3:F12">Spearman_R(x_s,y,fil)</f>
        <v>-0.65562080697254088</v>
      </c>
      <c r="G3" s="5" cm="1">
        <f t="array" ref="G3:G12">Skewness(x_s,fil)</f>
        <v>1.2764291138226984</v>
      </c>
      <c r="H3" s="5" cm="1">
        <f t="array" ref="H3:H12">Kurtosis(x_s,fil)</f>
        <v>2.4009445877439255</v>
      </c>
      <c r="I3" s="5" cm="1">
        <f t="array" ref="I3:I12">VIF(x_s,Allow_Intercept,fil)</f>
        <v>1.7548822741631729</v>
      </c>
      <c r="J3" s="4" cm="1">
        <f t="array" ref="J3:J12">Tolerance(x_s,Allow_Intercept,fil)</f>
        <v>0.56983879472875554</v>
      </c>
      <c r="L3" s="17" t="s">
        <v>474</v>
      </c>
      <c r="M3" s="8"/>
      <c r="O3" s="17" t="s">
        <v>479</v>
      </c>
      <c r="P3" s="8"/>
      <c r="T3" s="12" t="s">
        <v>501</v>
      </c>
      <c r="U3" s="9" cm="1">
        <f t="array" ref="U3">INDEX(Prediction_Interval(x_s,y,pred_input,Allow_Intercept,fil,alpha),1)</f>
        <v>51.920086583668137</v>
      </c>
      <c r="W3" cm="1">
        <f t="array" ref="W3:W1651">Dependent_Var(y,fil)</f>
        <v>65</v>
      </c>
      <c r="X3" cm="1">
        <f t="array" ref="X3:X1651">Predictions(x_s,y,Allow_Intercept,fil)</f>
        <v>64.031611712764587</v>
      </c>
      <c r="Y3" cm="1">
        <f t="array" ref="Y3:Y1651">Residuals(x_s,y,Allow_Intercept,fil)</f>
        <v>0.96838828723541326</v>
      </c>
      <c r="Z3" cm="1">
        <f t="array" ref="Z3:Z1651">Dependent_Var(y,fil)-LOOCV_prediction(x_s,y,Allow_Intercept,fil)</f>
        <v>0.97195198975798291</v>
      </c>
      <c r="AA3" cm="1">
        <f t="array" ref="AA3:AA1651">Hat_diagonal(x_s,Allow_Intercept,fil)</f>
        <v>3.666541722353687E-3</v>
      </c>
      <c r="AB3" cm="1">
        <f t="array" ref="AB3:AB1651">Studentized_Residuals(x_s,y,Allow_Intercept,fil)</f>
        <v>0.26324370256857776</v>
      </c>
      <c r="AC3" cm="1">
        <f t="array" ref="AC3:AC1651">Cooks_Distance(x_s,y,Allow_Intercept,fil)</f>
        <v>2.3183297724472173E-5</v>
      </c>
      <c r="AD3" cm="1">
        <f t="array" ref="AD3:AD1651">_xlfn._xlws.SORT(Normal_Scores(y,fil))</f>
        <v>-3.4287229888501014</v>
      </c>
      <c r="AE3" cm="1">
        <f t="array" ref="AE3:AE1651">Studentized_Residuals_Ranked(x_s,y,Allow_Intercept,fil)</f>
        <v>-4.7069444957002222</v>
      </c>
    </row>
    <row r="4" spans="1:31" x14ac:dyDescent="0.25">
      <c r="A4" t="str">
        <f ca="1"/>
        <v>infant deaths</v>
      </c>
      <c r="B4" s="16" t="b">
        <v>0</v>
      </c>
      <c r="D4" t="str">
        <f ca="1"/>
        <v>Alcohol</v>
      </c>
      <c r="E4" s="4">
        <v>0.4027183217273525</v>
      </c>
      <c r="F4" s="4">
        <v>0.45156709663151606</v>
      </c>
      <c r="G4" s="5">
        <v>0.66251839935723011</v>
      </c>
      <c r="H4" s="5">
        <v>-0.59110044260500194</v>
      </c>
      <c r="I4" s="5">
        <v>1.8076902109998403</v>
      </c>
      <c r="J4" s="4">
        <v>0.55319213099400266</v>
      </c>
      <c r="L4" s="12" t="s">
        <v>475</v>
      </c>
      <c r="M4" s="9" cm="1">
        <f t="array" ref="M4">Multiple_R(x_s,y,Allow_Intercept,fil)</f>
        <v>0.90859532971223134</v>
      </c>
      <c r="O4" s="12" t="s">
        <v>61</v>
      </c>
      <c r="P4" s="9" cm="1">
        <f t="array" ref="P4">PRESS(x_s,y,Allow_Intercept,fil)</f>
        <v>22666.999673562605</v>
      </c>
      <c r="T4" s="12" t="s">
        <v>502</v>
      </c>
      <c r="U4" s="9" cm="1">
        <f t="array" ref="U4">INDEX(Prediction_Interval(x_s,y,pred_input,Allow_Intercept,fil,alpha),2)</f>
        <v>3.7457832299538478</v>
      </c>
      <c r="W4">
        <v>59.9</v>
      </c>
      <c r="X4">
        <v>63.67599847328168</v>
      </c>
      <c r="Y4">
        <v>-3.7759984732816818</v>
      </c>
      <c r="Z4">
        <v>-3.79084788954912</v>
      </c>
      <c r="AA4">
        <v>3.9171754446753497E-3</v>
      </c>
      <c r="AB4">
        <v>-1.0265849763402246</v>
      </c>
      <c r="AC4">
        <v>3.767685945427754E-4</v>
      </c>
      <c r="AD4">
        <v>-3.118249953252767</v>
      </c>
      <c r="AE4">
        <v>-3.6113217315806798</v>
      </c>
    </row>
    <row r="5" spans="1:31" x14ac:dyDescent="0.25">
      <c r="A5" t="str">
        <f ca="1"/>
        <v>Alcohol</v>
      </c>
      <c r="B5" s="16" t="b">
        <v>1</v>
      </c>
      <c r="D5" t="str">
        <f ca="1"/>
        <v>percentage expenditure</v>
      </c>
      <c r="E5" s="4">
        <v>0.40963082412504903</v>
      </c>
      <c r="F5" s="4">
        <v>0.57668637597311545</v>
      </c>
      <c r="G5" s="5">
        <v>4.9805739179663373</v>
      </c>
      <c r="H5" s="5">
        <v>30.992195235914028</v>
      </c>
      <c r="I5" s="5">
        <v>1.3109379936083669</v>
      </c>
      <c r="J5" s="4">
        <v>0.76281258524477746</v>
      </c>
      <c r="L5" s="12" t="s">
        <v>476</v>
      </c>
      <c r="M5" s="9" cm="1">
        <f t="array" ref="M5">R_squared(x_s,y,Allow_Intercept,fil)</f>
        <v>0.82554547317487836</v>
      </c>
      <c r="O5" s="12" t="s">
        <v>480</v>
      </c>
      <c r="P5" s="9" cm="1">
        <f t="array" ref="P5">1-PRESS(x_s,y,Allow_Intercept,fil)/SS_Total(y,Allow_Intercept,fil)</f>
        <v>0.82226047131752833</v>
      </c>
      <c r="T5" s="12" t="s">
        <v>503</v>
      </c>
      <c r="U5" s="9" cm="1">
        <f t="array" ref="U5">INDEX(Prediction_Interval(x_s,y,pred_input,Allow_Intercept,fil,alpha),3)</f>
        <v>1.9614133101324769</v>
      </c>
      <c r="W5">
        <v>59.9</v>
      </c>
      <c r="X5">
        <v>63.589958731754294</v>
      </c>
      <c r="Y5">
        <v>-3.6899587317542952</v>
      </c>
      <c r="Z5">
        <v>-3.7038566153621701</v>
      </c>
      <c r="AA5">
        <v>3.752273657201319E-3</v>
      </c>
      <c r="AB5">
        <v>-1.0031102253314492</v>
      </c>
      <c r="AC5">
        <v>3.4453376569894907E-4</v>
      </c>
      <c r="AD5">
        <v>-2.9644605992605717</v>
      </c>
      <c r="AE5">
        <v>-3.4443241183520934</v>
      </c>
    </row>
    <row r="6" spans="1:31" x14ac:dyDescent="0.25">
      <c r="A6" t="str">
        <f ca="1"/>
        <v>percentage expenditure</v>
      </c>
      <c r="B6" s="16" t="b">
        <v>1</v>
      </c>
      <c r="D6" t="str">
        <f ca="1"/>
        <v>BMI</v>
      </c>
      <c r="E6" s="4">
        <v>0.54204158769157829</v>
      </c>
      <c r="F6" s="4">
        <v>0.5836370658786586</v>
      </c>
      <c r="G6" s="5">
        <v>-0.23360071764187307</v>
      </c>
      <c r="H6" s="5">
        <v>-1.2702262093966004</v>
      </c>
      <c r="I6" s="5">
        <v>1.5581856963177698</v>
      </c>
      <c r="J6" s="4">
        <v>0.6417720316411275</v>
      </c>
      <c r="L6" s="12" t="s">
        <v>477</v>
      </c>
      <c r="M6" s="9" cm="1">
        <f t="array" ref="M6">Adjusted_R2(x_s,y,Allow_Intercept,fil)</f>
        <v>0.82448042722356507</v>
      </c>
      <c r="O6" s="12" t="s">
        <v>481</v>
      </c>
      <c r="P6" s="9" cm="1">
        <f t="array" ref="P6">(DF_Regression(x_s)+IF(Allow_Intercept,1,0))/Observations(y,fil)</f>
        <v>6.6707095209217705E-3</v>
      </c>
      <c r="T6" s="12" t="s">
        <v>497</v>
      </c>
      <c r="U6" s="9" cm="1">
        <f t="array" ref="U6">INDEX(Prediction_Interval(x_s,y,pred_input,Allow_Intercept,fil,alpha),4)</f>
        <v>44.573057499565643</v>
      </c>
      <c r="W6">
        <v>59.5</v>
      </c>
      <c r="X6">
        <v>63.419659126523683</v>
      </c>
      <c r="Y6">
        <v>-3.9196591265236833</v>
      </c>
      <c r="Z6">
        <v>-3.9354643473476258</v>
      </c>
      <c r="AA6">
        <v>4.0161006247189076E-3</v>
      </c>
      <c r="AB6">
        <v>-1.065695081293228</v>
      </c>
      <c r="AC6">
        <v>4.1631830359630467E-4</v>
      </c>
      <c r="AD6">
        <v>-2.9644605992605717</v>
      </c>
      <c r="AE6">
        <v>-3.2772050793457939</v>
      </c>
    </row>
    <row r="7" spans="1:31" x14ac:dyDescent="0.25">
      <c r="A7" t="str">
        <f ca="1"/>
        <v>Hepatitis B</v>
      </c>
      <c r="B7" s="16" t="b">
        <v>0</v>
      </c>
      <c r="D7" t="str">
        <f ca="1"/>
        <v>under-five deaths</v>
      </c>
      <c r="E7" s="4">
        <v>-0.19226530105304498</v>
      </c>
      <c r="F7" s="4">
        <v>-0.5384373468110879</v>
      </c>
      <c r="G7" s="5">
        <v>8.3408629723813945</v>
      </c>
      <c r="H7" s="5">
        <v>82.187220775460347</v>
      </c>
      <c r="I7" s="5">
        <v>1.1133943597376044</v>
      </c>
      <c r="J7" s="4">
        <v>0.89815436125944792</v>
      </c>
      <c r="L7" s="12" t="s">
        <v>478</v>
      </c>
      <c r="M7" s="9" cm="1">
        <f t="array" ref="M7">SE_Regression(x_s,y,Allow_Intercept,fil)</f>
        <v>3.6854385982311841</v>
      </c>
      <c r="O7" s="12" t="s">
        <v>65</v>
      </c>
      <c r="P7" s="9" cm="1">
        <f t="array" ref="P7">AIC(x_s,y,Allow_Intercept,fil)</f>
        <v>4312.839853813005</v>
      </c>
      <c r="T7" s="12" t="s">
        <v>498</v>
      </c>
      <c r="U7" s="9" cm="1">
        <f t="array" ref="U7">INDEX(Prediction_Interval(x_s,y,pred_input,Allow_Intercept,fil,alpha),5)</f>
        <v>59.267115667770632</v>
      </c>
      <c r="W7">
        <v>59.2</v>
      </c>
      <c r="X7">
        <v>62.914905678765635</v>
      </c>
      <c r="Y7">
        <v>-3.714905678765632</v>
      </c>
      <c r="Z7">
        <v>-3.7278693313170734</v>
      </c>
      <c r="AA7">
        <v>3.4774964998191323E-3</v>
      </c>
      <c r="AB7">
        <v>-1.0097527772884203</v>
      </c>
      <c r="AC7">
        <v>3.2345734592065928E-4</v>
      </c>
      <c r="AD7">
        <v>-2.7786903070508315</v>
      </c>
      <c r="AE7">
        <v>-3.2416768012348047</v>
      </c>
    </row>
    <row r="8" spans="1:31" x14ac:dyDescent="0.25">
      <c r="A8" t="str">
        <f ca="1"/>
        <v>Measles</v>
      </c>
      <c r="B8" s="16" t="b">
        <v>0</v>
      </c>
      <c r="D8" t="str">
        <f ca="1"/>
        <v>Total expenditure</v>
      </c>
      <c r="E8" s="4">
        <v>0.17471764064230411</v>
      </c>
      <c r="F8" s="4">
        <v>0.27107970455247493</v>
      </c>
      <c r="G8" s="5">
        <v>0.21336165862070411</v>
      </c>
      <c r="H8" s="5">
        <v>-1.0252562552346411E-2</v>
      </c>
      <c r="I8" s="5">
        <v>1.105866910068003</v>
      </c>
      <c r="J8" s="4">
        <v>0.90426794661801313</v>
      </c>
      <c r="L8" s="13" t="s">
        <v>5</v>
      </c>
      <c r="M8" s="10" cm="1">
        <f t="array" ref="M8">Observations(y,fil)</f>
        <v>1649</v>
      </c>
      <c r="O8" s="12" t="s">
        <v>69</v>
      </c>
      <c r="P8" s="9" cm="1">
        <f t="array" ref="P8">BIC(x_s,y,Allow_Intercept,fil)</f>
        <v>4372.3270213611604</v>
      </c>
      <c r="T8" s="13" t="s">
        <v>504</v>
      </c>
      <c r="U8" s="10" cm="1">
        <f t="array" ref="U8">INDEX(Prediction_Interval(x_s,y,pred_input,Allow_Intercept,fil,alpha),6)</f>
        <v>0.95</v>
      </c>
      <c r="W8">
        <v>58.8</v>
      </c>
      <c r="X8">
        <v>62.558366591824537</v>
      </c>
      <c r="Y8">
        <v>-3.7583665918245401</v>
      </c>
      <c r="Z8">
        <v>-3.7765424032225283</v>
      </c>
      <c r="AA8">
        <v>4.8128180375991087E-3</v>
      </c>
      <c r="AB8">
        <v>-1.022251066217744</v>
      </c>
      <c r="AC8">
        <v>4.5942764870956696E-4</v>
      </c>
      <c r="AD8">
        <v>-2.7786903070508315</v>
      </c>
      <c r="AE8">
        <v>-3.2375001270277246</v>
      </c>
    </row>
    <row r="9" spans="1:31" x14ac:dyDescent="0.25">
      <c r="A9" t="str">
        <f ca="1"/>
        <v>BMI</v>
      </c>
      <c r="B9" s="16" t="b">
        <v>1</v>
      </c>
      <c r="D9" t="str">
        <f ca="1"/>
        <v>Diphtheria</v>
      </c>
      <c r="E9" s="4">
        <v>0.34133123426064216</v>
      </c>
      <c r="F9" s="4">
        <v>0.44819623351132853</v>
      </c>
      <c r="G9" s="5">
        <v>-2.4874916081791545</v>
      </c>
      <c r="H9" s="5">
        <v>5.8556393600326784</v>
      </c>
      <c r="I9" s="5">
        <v>1.1844849372897663</v>
      </c>
      <c r="J9" s="4">
        <v>0.84424881103858662</v>
      </c>
      <c r="O9" s="12" t="s">
        <v>73</v>
      </c>
      <c r="P9" s="9" cm="1">
        <f t="array" ref="P9">AICc(x_s,y,Allow_Intercept,fil)</f>
        <v>4313.0011244299876</v>
      </c>
      <c r="W9">
        <v>58.6</v>
      </c>
      <c r="X9">
        <v>62.012077882156447</v>
      </c>
      <c r="Y9">
        <v>-3.4120778821564457</v>
      </c>
      <c r="Z9">
        <v>-3.4300720802175704</v>
      </c>
      <c r="AA9">
        <v>5.2460116406600876E-3</v>
      </c>
      <c r="AB9">
        <v>-0.92826486162455224</v>
      </c>
      <c r="AC9">
        <v>4.1310903917620177E-4</v>
      </c>
      <c r="AD9">
        <v>-2.6570161854420777</v>
      </c>
      <c r="AE9">
        <v>-3.1588529529329268</v>
      </c>
    </row>
    <row r="10" spans="1:31" x14ac:dyDescent="0.25">
      <c r="A10" t="str">
        <f ca="1"/>
        <v>under-five deaths</v>
      </c>
      <c r="B10" s="16" t="b">
        <v>1</v>
      </c>
      <c r="D10" t="str">
        <f ca="1"/>
        <v>HIV/AIDS</v>
      </c>
      <c r="E10" s="4">
        <v>-0.59223629259263988</v>
      </c>
      <c r="F10" s="4">
        <v>-0.72026469818695804</v>
      </c>
      <c r="G10" s="5">
        <v>4.9741755969625574</v>
      </c>
      <c r="H10" s="5">
        <v>27.751491599089142</v>
      </c>
      <c r="I10" s="5">
        <v>1.4701974081517286</v>
      </c>
      <c r="J10" s="4">
        <v>0.68018076651159287</v>
      </c>
      <c r="O10" s="13" t="s">
        <v>482</v>
      </c>
      <c r="P10" s="10" cm="1">
        <f t="array" ref="P10">QQ_Correlation(x_s,y,Allow_Intercept,fil)</f>
        <v>0.9945907968479204</v>
      </c>
      <c r="T10" s="15" t="s">
        <v>467</v>
      </c>
      <c r="W10">
        <v>58.1</v>
      </c>
      <c r="X10">
        <v>61.611089195331331</v>
      </c>
      <c r="Y10">
        <v>-3.5110891953313299</v>
      </c>
      <c r="Z10">
        <v>-3.526014538923917</v>
      </c>
      <c r="AA10">
        <v>4.2329217386443034E-3</v>
      </c>
      <c r="AB10">
        <v>-0.95471511988597491</v>
      </c>
      <c r="AC10">
        <v>3.522389609123247E-4</v>
      </c>
      <c r="AD10">
        <v>-2.6570161854420777</v>
      </c>
      <c r="AE10">
        <v>-3.0560843198779688</v>
      </c>
    </row>
    <row r="11" spans="1:31" x14ac:dyDescent="0.25">
      <c r="A11" t="str">
        <f ca="1"/>
        <v>Polio</v>
      </c>
      <c r="B11" s="16" t="b">
        <v>0</v>
      </c>
      <c r="D11" t="str">
        <f ca="1"/>
        <v>Income composition of resources</v>
      </c>
      <c r="E11" s="4">
        <v>0.72108259291729193</v>
      </c>
      <c r="F11" s="4">
        <v>0.84902333027593679</v>
      </c>
      <c r="G11" s="5">
        <v>-1.1552436094975105</v>
      </c>
      <c r="H11" s="5">
        <v>2.0611920694297563</v>
      </c>
      <c r="I11" s="5">
        <v>2.9192835468571827</v>
      </c>
      <c r="J11" s="4">
        <v>0.34254980167191074</v>
      </c>
      <c r="T11" s="3" t="s">
        <v>505</v>
      </c>
      <c r="U11" s="3" t="s">
        <v>506</v>
      </c>
      <c r="W11">
        <v>57.5</v>
      </c>
      <c r="X11">
        <v>60.835296847451772</v>
      </c>
      <c r="Y11">
        <v>-3.3352968474517724</v>
      </c>
      <c r="Z11">
        <v>-3.346547732570528</v>
      </c>
      <c r="AA11">
        <v>3.3619377393761456E-3</v>
      </c>
      <c r="AB11">
        <v>-0.90651830573250614</v>
      </c>
      <c r="AC11">
        <v>2.5200703746222419E-4</v>
      </c>
      <c r="AD11">
        <v>-2.5652792972685243</v>
      </c>
      <c r="AE11">
        <v>-3.0363406836321363</v>
      </c>
    </row>
    <row r="12" spans="1:31" x14ac:dyDescent="0.25">
      <c r="A12" t="str">
        <f ca="1"/>
        <v>Total expenditure</v>
      </c>
      <c r="B12" s="16" t="b">
        <v>1</v>
      </c>
      <c r="D12" t="str">
        <f ca="1"/>
        <v>Schooling</v>
      </c>
      <c r="E12" s="4">
        <v>0.72763003232110479</v>
      </c>
      <c r="F12" s="4">
        <v>0.77476911930540282</v>
      </c>
      <c r="G12" s="5">
        <v>-0.12816419625645914</v>
      </c>
      <c r="H12" s="5">
        <v>4.5707552951051778E-2</v>
      </c>
      <c r="I12" s="5">
        <v>3.4156043903182596</v>
      </c>
      <c r="J12" s="4">
        <v>0.29277395322320154</v>
      </c>
      <c r="L12" s="3" t="s">
        <v>483</v>
      </c>
      <c r="M12" s="16">
        <v>0.05</v>
      </c>
      <c r="T12" t="s">
        <v>507</v>
      </c>
      <c r="U12" s="16">
        <f>IF(Allow_Intercept,1,0)</f>
        <v>1</v>
      </c>
      <c r="W12">
        <v>57.3</v>
      </c>
      <c r="X12">
        <v>60.3723793361413</v>
      </c>
      <c r="Y12">
        <v>-3.072379336141303</v>
      </c>
      <c r="Z12">
        <v>-3.0849438308993982</v>
      </c>
      <c r="AA12">
        <v>4.0728439306569504E-3</v>
      </c>
      <c r="AB12">
        <v>-0.83535652317884956</v>
      </c>
      <c r="AC12">
        <v>2.5943062708214234E-4</v>
      </c>
      <c r="AD12">
        <v>-2.5264513477970261</v>
      </c>
      <c r="AE12">
        <v>-2.9212004667457054</v>
      </c>
    </row>
    <row r="13" spans="1:31" x14ac:dyDescent="0.25">
      <c r="A13" t="str">
        <f ca="1"/>
        <v>Diphtheria</v>
      </c>
      <c r="B13" s="16" t="b">
        <v>1</v>
      </c>
      <c r="E13" s="4"/>
      <c r="F13" s="4"/>
      <c r="G13" s="5"/>
      <c r="H13" s="5"/>
      <c r="I13" s="5"/>
      <c r="J13" s="4"/>
      <c r="L13" s="17" t="s">
        <v>484</v>
      </c>
      <c r="M13" s="6"/>
      <c r="N13" s="6"/>
      <c r="O13" s="6"/>
      <c r="P13" s="6"/>
      <c r="Q13" s="8"/>
      <c r="T13" t="str" cm="1">
        <f t="array" aca="1" ref="T13:T30" ca="1">Coefficient_Name_Col(All_Xs)</f>
        <v>Adult Mortality</v>
      </c>
      <c r="U13" s="16">
        <v>0</v>
      </c>
      <c r="W13">
        <v>57.3</v>
      </c>
      <c r="X13">
        <v>60.226409057317063</v>
      </c>
      <c r="Y13">
        <v>-2.9264090573170662</v>
      </c>
      <c r="Z13">
        <v>-2.941636603500875</v>
      </c>
      <c r="AA13">
        <v>5.1765558552297796E-3</v>
      </c>
      <c r="AB13">
        <v>-0.79610957375626423</v>
      </c>
      <c r="AC13">
        <v>2.9981123347548101E-4</v>
      </c>
      <c r="AD13">
        <v>-2.5264513477970261</v>
      </c>
      <c r="AE13">
        <v>-2.8937175350312367</v>
      </c>
    </row>
    <row r="14" spans="1:31" x14ac:dyDescent="0.25">
      <c r="A14" t="str">
        <f ca="1"/>
        <v>HIV/AIDS</v>
      </c>
      <c r="B14" s="16" t="b">
        <v>1</v>
      </c>
      <c r="E14" s="4"/>
      <c r="F14" s="4"/>
      <c r="G14" s="5"/>
      <c r="H14" s="5"/>
      <c r="I14" s="5"/>
      <c r="J14" s="4"/>
      <c r="L14" s="14"/>
      <c r="M14" s="3" t="s">
        <v>485</v>
      </c>
      <c r="N14" s="3" t="s">
        <v>486</v>
      </c>
      <c r="O14" s="3" t="s">
        <v>487</v>
      </c>
      <c r="P14" s="3" t="s">
        <v>488</v>
      </c>
      <c r="Q14" s="11" t="s">
        <v>489</v>
      </c>
      <c r="T14" t="str">
        <f ca="1"/>
        <v>infant deaths</v>
      </c>
      <c r="U14" s="16">
        <v>0</v>
      </c>
      <c r="W14">
        <v>57</v>
      </c>
      <c r="X14">
        <v>57.868495719971577</v>
      </c>
      <c r="Y14">
        <v>-0.86849571997157682</v>
      </c>
      <c r="Z14">
        <v>-0.87966503345604963</v>
      </c>
      <c r="AA14">
        <v>1.2697234810604341E-2</v>
      </c>
      <c r="AB14">
        <v>-0.23716648983462607</v>
      </c>
      <c r="AC14">
        <v>6.5761659534284252E-5</v>
      </c>
      <c r="AD14">
        <v>-2.5264513477970261</v>
      </c>
      <c r="AE14">
        <v>-2.8824126965037986</v>
      </c>
    </row>
    <row r="15" spans="1:31" x14ac:dyDescent="0.25">
      <c r="A15" t="str">
        <f ca="1"/>
        <v>GDP</v>
      </c>
      <c r="B15" s="16" t="b">
        <v>0</v>
      </c>
      <c r="E15" s="4"/>
      <c r="F15" s="4"/>
      <c r="G15" s="5"/>
      <c r="H15" s="5"/>
      <c r="I15" s="5"/>
      <c r="J15" s="4"/>
      <c r="L15" s="12" t="s">
        <v>490</v>
      </c>
      <c r="M15" cm="1">
        <f t="array" ref="M15">DF_Regression(x_s)</f>
        <v>10</v>
      </c>
      <c r="N15" cm="1">
        <f t="array" ref="N15">SS_Regression(x_s,y,Allow_Intercept,fil)</f>
        <v>105281.24559391533</v>
      </c>
      <c r="O15" cm="1">
        <f t="array" ref="O15">MS_Regression(x_s,y,Allow_Intercept,fil)</f>
        <v>10528.124559391534</v>
      </c>
      <c r="P15" cm="1">
        <f t="array" ref="P15">F_Stat(x_s,y,Allow_Intercept,fil)</f>
        <v>775.12662449623883</v>
      </c>
      <c r="Q15" s="9" cm="1">
        <f t="array" ref="Q15">P_Value_F(x_s,y,Allow_Intercept,fil)</f>
        <v>0</v>
      </c>
      <c r="T15" t="str">
        <f ca="1"/>
        <v>Alcohol</v>
      </c>
      <c r="U15" s="16">
        <v>0</v>
      </c>
      <c r="W15">
        <v>56.7</v>
      </c>
      <c r="X15">
        <v>58.231939380065775</v>
      </c>
      <c r="Y15">
        <v>-1.5319393800657721</v>
      </c>
      <c r="Z15">
        <v>-1.5435685179355687</v>
      </c>
      <c r="AA15">
        <v>7.5339304570369234E-3</v>
      </c>
      <c r="AB15">
        <v>-0.41724829078674047</v>
      </c>
      <c r="AC15">
        <v>1.2014408286529933E-4</v>
      </c>
      <c r="AD15">
        <v>-2.4285172603656537</v>
      </c>
      <c r="AE15">
        <v>-2.8778496084817231</v>
      </c>
    </row>
    <row r="16" spans="1:31" x14ac:dyDescent="0.25">
      <c r="A16" t="str">
        <f ca="1"/>
        <v>Population</v>
      </c>
      <c r="B16" s="16" t="b">
        <v>0</v>
      </c>
      <c r="E16" s="4"/>
      <c r="F16" s="4"/>
      <c r="G16" s="5"/>
      <c r="H16" s="5"/>
      <c r="I16" s="5"/>
      <c r="J16" s="4"/>
      <c r="L16" s="12" t="s">
        <v>491</v>
      </c>
      <c r="M16" cm="1">
        <f t="array" ref="M16">DF_Residual(x_s,y,Allow_Intercept,fil)</f>
        <v>1638</v>
      </c>
      <c r="N16" cm="1">
        <f t="array" ref="N16">SS_Residual(x_s,y,Allow_Intercept,fil)</f>
        <v>22248.0656492622</v>
      </c>
      <c r="O16" cm="1">
        <f t="array" ref="O16">MS_Residual(x_s,y,Allow_Intercept,fil)</f>
        <v>13.582457661332235</v>
      </c>
      <c r="Q16" s="9"/>
      <c r="T16" t="str">
        <f ca="1"/>
        <v>percentage expenditure</v>
      </c>
      <c r="U16" s="16">
        <v>0</v>
      </c>
      <c r="W16">
        <v>56.2</v>
      </c>
      <c r="X16">
        <v>62.713315214335438</v>
      </c>
      <c r="Y16">
        <v>-6.5133152143354351</v>
      </c>
      <c r="Z16">
        <v>-6.5831001941758629</v>
      </c>
      <c r="AA16">
        <v>1.0600625508049945E-2</v>
      </c>
      <c r="AB16">
        <v>-1.7767531776134655</v>
      </c>
      <c r="AC16">
        <v>3.0748318950871586E-3</v>
      </c>
      <c r="AD16">
        <v>-2.4004805754973497</v>
      </c>
      <c r="AE16">
        <v>-2.8510720391515174</v>
      </c>
    </row>
    <row r="17" spans="1:31" x14ac:dyDescent="0.25">
      <c r="A17" t="str">
        <f ca="1"/>
        <v>thinness 1-19 years</v>
      </c>
      <c r="B17" s="16" t="b">
        <v>0</v>
      </c>
      <c r="E17" s="4"/>
      <c r="F17" s="4"/>
      <c r="G17" s="5"/>
      <c r="H17" s="5"/>
      <c r="I17" s="5"/>
      <c r="J17" s="4"/>
      <c r="L17" s="13" t="s">
        <v>492</v>
      </c>
      <c r="M17" s="7" cm="1">
        <f t="array" ref="M17">DF_Total(y,Allow_Intercept,fil)</f>
        <v>1648</v>
      </c>
      <c r="N17" s="7" cm="1">
        <f t="array" ref="N17">SS_Total(y,Allow_Intercept,fil)</f>
        <v>127529.31124317752</v>
      </c>
      <c r="O17" s="7"/>
      <c r="P17" s="7"/>
      <c r="Q17" s="10"/>
      <c r="T17" t="str">
        <f ca="1"/>
        <v>Hepatitis B</v>
      </c>
      <c r="U17" s="16">
        <v>0</v>
      </c>
      <c r="W17">
        <v>55.3</v>
      </c>
      <c r="X17">
        <v>56.676038388157473</v>
      </c>
      <c r="Y17">
        <v>-1.3760383881574754</v>
      </c>
      <c r="Z17">
        <v>-1.3872295410482991</v>
      </c>
      <c r="AA17">
        <v>8.0672682924327992E-3</v>
      </c>
      <c r="AB17">
        <v>-0.37488689521526086</v>
      </c>
      <c r="AC17">
        <v>1.0390874809817581E-4</v>
      </c>
      <c r="AD17">
        <v>-2.3742127090260081</v>
      </c>
      <c r="AE17">
        <v>-2.8381124339876438</v>
      </c>
    </row>
    <row r="18" spans="1:31" x14ac:dyDescent="0.25">
      <c r="A18" t="str">
        <f ca="1"/>
        <v>thinness 5-9 years</v>
      </c>
      <c r="B18" s="16" t="b">
        <v>0</v>
      </c>
      <c r="E18" s="4"/>
      <c r="F18" s="4"/>
      <c r="G18" s="5"/>
      <c r="H18" s="5"/>
      <c r="I18" s="5"/>
      <c r="J18" s="4"/>
      <c r="T18" t="str">
        <f ca="1"/>
        <v>Measles</v>
      </c>
      <c r="U18" s="16">
        <v>0</v>
      </c>
      <c r="W18">
        <v>54.8</v>
      </c>
      <c r="X18">
        <v>56.014918389776398</v>
      </c>
      <c r="Y18">
        <v>-1.2149183897764004</v>
      </c>
      <c r="Z18">
        <v>-1.227305701159878</v>
      </c>
      <c r="AA18">
        <v>1.0093093653660706E-2</v>
      </c>
      <c r="AB18">
        <v>-0.33132999106199201</v>
      </c>
      <c r="AC18">
        <v>1.0175570351686392E-4</v>
      </c>
      <c r="AD18">
        <v>-2.3494875599978426</v>
      </c>
      <c r="AE18">
        <v>-2.7568024257938335</v>
      </c>
    </row>
    <row r="19" spans="1:31" x14ac:dyDescent="0.25">
      <c r="A19" t="str">
        <f ca="1"/>
        <v>Income composition of resources</v>
      </c>
      <c r="B19" s="16" t="b">
        <v>1</v>
      </c>
      <c r="E19" s="4"/>
      <c r="F19" s="4"/>
      <c r="G19" s="5"/>
      <c r="H19" s="5"/>
      <c r="I19" s="5"/>
      <c r="J19" s="4"/>
      <c r="L19" s="15" t="s">
        <v>493</v>
      </c>
      <c r="T19" t="str">
        <f ca="1"/>
        <v>BMI</v>
      </c>
      <c r="U19" s="16">
        <v>0</v>
      </c>
      <c r="W19">
        <v>77.8</v>
      </c>
      <c r="X19">
        <v>76.129722050358453</v>
      </c>
      <c r="Y19">
        <v>1.6702779496415445</v>
      </c>
      <c r="Z19">
        <v>1.673346319372385</v>
      </c>
      <c r="AA19">
        <v>1.8336728597781915E-3</v>
      </c>
      <c r="AB19">
        <v>0.45362617935501909</v>
      </c>
      <c r="AC19">
        <v>3.4365485002138074E-5</v>
      </c>
      <c r="AD19">
        <v>-2.3261203997549518</v>
      </c>
      <c r="AE19">
        <v>-2.7204653829205996</v>
      </c>
    </row>
    <row r="20" spans="1:31" x14ac:dyDescent="0.25">
      <c r="A20" t="str">
        <f ca="1"/>
        <v>Schooling</v>
      </c>
      <c r="B20" s="16" t="b">
        <v>1</v>
      </c>
      <c r="E20" s="4"/>
      <c r="F20" s="4"/>
      <c r="G20" s="5"/>
      <c r="H20" s="5"/>
      <c r="I20" s="5"/>
      <c r="J20" s="4"/>
      <c r="L20" s="3"/>
      <c r="M20" s="3" t="s">
        <v>85</v>
      </c>
      <c r="N20" s="3" t="s">
        <v>494</v>
      </c>
      <c r="O20" s="3" t="s">
        <v>495</v>
      </c>
      <c r="P20" s="3" t="s">
        <v>496</v>
      </c>
      <c r="Q20" s="3" t="s">
        <v>497</v>
      </c>
      <c r="R20" s="3" t="s">
        <v>498</v>
      </c>
      <c r="T20" t="str">
        <f ca="1"/>
        <v>under-five deaths</v>
      </c>
      <c r="U20" s="16">
        <v>0</v>
      </c>
      <c r="W20">
        <v>77.5</v>
      </c>
      <c r="X20">
        <v>77.290263386095859</v>
      </c>
      <c r="Y20">
        <v>0.20973661390414122</v>
      </c>
      <c r="Z20">
        <v>0.2102368740021916</v>
      </c>
      <c r="AA20">
        <v>2.3795069272366533E-3</v>
      </c>
      <c r="AB20">
        <v>5.6977369011142143E-2</v>
      </c>
      <c r="AC20">
        <v>7.0393686423403144E-7</v>
      </c>
      <c r="AD20">
        <v>-2.3261203997549518</v>
      </c>
      <c r="AE20">
        <v>-2.6761007004907587</v>
      </c>
    </row>
    <row r="21" spans="1:31" x14ac:dyDescent="0.25">
      <c r="L21" t="str" cm="1">
        <f t="array" aca="1" ref="L21:L31" ca="1">IF(Allow_Intercept,_xlfn.VSTACK("Intercept",Coefficient_Name_Col(All_Xs,Ind_Var_Filter)),_xlfn.VSTACK("",Coefficient_Name_Col(All_Xs,Ind_Var_Filter)))</f>
        <v>Intercept</v>
      </c>
      <c r="M21" cm="1">
        <f t="array" ref="M21:M31">IF(Allow_Intercept,Coefficients(x_s,y,Allow_Intercept,fil),_xlfn.VSTACK("",Coefficients(x_s,y,Allow_Intercept,fil)))</f>
        <v>51.920086583668137</v>
      </c>
      <c r="N21" cm="1">
        <f t="array" ref="N21:N31">IF(Allow_Intercept,SE_Coefficients(x_s,y,Allow_Intercept,fil),_xlfn.VSTACK("",SE_Coefficients(x_s,y,Allow_Intercept,fil)))</f>
        <v>0.66965240570855777</v>
      </c>
      <c r="O21" cm="1">
        <f t="array" ref="O21:O31">IF(Allow_Intercept,T_Stats(x_s,y,Allow_Intercept,fil),_xlfn.VSTACK("",T_Stats(x_s,y,Allow_Intercept,fil)))</f>
        <v>77.532890408616694</v>
      </c>
      <c r="P21" cm="1">
        <f t="array" ref="P21:P31">IF(Allow_Intercept,P_Values(x_s,y,Allow_Intercept,fil),_xlfn.VSTACK("",P_Values(x_s,y,Allow_Intercept,fil)))</f>
        <v>0</v>
      </c>
      <c r="Q21" cm="1">
        <f t="array" ref="Q21:Q31">IF(Allow_Intercept,CI_Lower(x_s,y,Allow_Intercept,fil),_xlfn.VSTACK("",CI_Lower(x_s,y,Allow_Intercept,fil)))</f>
        <v>50.606621441949137</v>
      </c>
      <c r="R21" cm="1">
        <f t="array" ref="R21:R31">IF(Allow_Intercept,CI_Upper(x_s,y,Allow_Intercept,fil),_xlfn.VSTACK("",CI_Upper(x_s,y,Allow_Intercept,fil)))</f>
        <v>53.233551725387137</v>
      </c>
      <c r="T21" t="str">
        <f ca="1"/>
        <v>Polio</v>
      </c>
      <c r="U21" s="16">
        <v>0</v>
      </c>
      <c r="W21">
        <v>77.2</v>
      </c>
      <c r="X21">
        <v>75.849457239685293</v>
      </c>
      <c r="Y21">
        <v>1.3505427603147098</v>
      </c>
      <c r="Z21">
        <v>1.3528558767024492</v>
      </c>
      <c r="AA21">
        <v>1.7098025204145225E-3</v>
      </c>
      <c r="AB21">
        <v>0.36676742474089946</v>
      </c>
      <c r="AC21">
        <v>2.0944884649158302E-5</v>
      </c>
      <c r="AD21">
        <v>-2.3261203997549518</v>
      </c>
      <c r="AE21">
        <v>-2.6728124162331919</v>
      </c>
    </row>
    <row r="22" spans="1:31" x14ac:dyDescent="0.25">
      <c r="L22" t="str">
        <f ca="1"/>
        <v>Adult Mortality</v>
      </c>
      <c r="M22">
        <v>-1.8117403044965154E-2</v>
      </c>
      <c r="N22">
        <v>9.5972629718435898E-4</v>
      </c>
      <c r="O22">
        <v>-18.877676998242016</v>
      </c>
      <c r="P22">
        <v>4.4692989494488304E-72</v>
      </c>
      <c r="Q22">
        <v>-1.9999822978346713E-2</v>
      </c>
      <c r="R22">
        <v>-1.6234983111583595E-2</v>
      </c>
      <c r="T22" t="str">
        <f ca="1"/>
        <v>Total expenditure</v>
      </c>
      <c r="U22" s="16">
        <v>0</v>
      </c>
      <c r="W22">
        <v>76.900000000000006</v>
      </c>
      <c r="X22">
        <v>75.663976283091259</v>
      </c>
      <c r="Y22">
        <v>1.2360237169087469</v>
      </c>
      <c r="Z22">
        <v>1.2380463894672147</v>
      </c>
      <c r="AA22">
        <v>1.6337615259659339E-3</v>
      </c>
      <c r="AB22">
        <v>0.33565466003784311</v>
      </c>
      <c r="AC22">
        <v>1.6760673085097216E-5</v>
      </c>
      <c r="AD22">
        <v>-2.3261203997549518</v>
      </c>
      <c r="AE22">
        <v>-2.5704068641295992</v>
      </c>
    </row>
    <row r="23" spans="1:31" x14ac:dyDescent="0.25">
      <c r="L23" t="str">
        <f ca="1"/>
        <v>Alcohol</v>
      </c>
      <c r="M23">
        <v>-9.3598033861060165E-2</v>
      </c>
      <c r="N23">
        <v>3.0293882728510673E-2</v>
      </c>
      <c r="O23">
        <v>-3.0896677953061347</v>
      </c>
      <c r="P23">
        <v>2.0375085471434013E-3</v>
      </c>
      <c r="Q23">
        <v>-0.15301685866035336</v>
      </c>
      <c r="R23">
        <v>-3.4179209061766976E-2</v>
      </c>
      <c r="T23" t="str">
        <f ca="1"/>
        <v>Diphtheria</v>
      </c>
      <c r="U23" s="16">
        <v>0</v>
      </c>
      <c r="W23">
        <v>76.599999999999994</v>
      </c>
      <c r="X23">
        <v>74.623798671209428</v>
      </c>
      <c r="Y23">
        <v>1.976201328790566</v>
      </c>
      <c r="Z23">
        <v>1.979208419421667</v>
      </c>
      <c r="AA23">
        <v>1.5193400561501157E-3</v>
      </c>
      <c r="AB23">
        <v>0.5366265777760868</v>
      </c>
      <c r="AC23">
        <v>3.9835200022042109E-5</v>
      </c>
      <c r="AD23">
        <v>-2.2435160869312201</v>
      </c>
      <c r="AE23">
        <v>-2.5700120377587208</v>
      </c>
    </row>
    <row r="24" spans="1:31" x14ac:dyDescent="0.25">
      <c r="L24" t="str">
        <f ca="1"/>
        <v>percentage expenditure</v>
      </c>
      <c r="M24">
        <v>4.5678553482644927E-4</v>
      </c>
      <c r="N24">
        <v>5.9085265708499583E-5</v>
      </c>
      <c r="O24">
        <v>7.7309550756702334</v>
      </c>
      <c r="P24">
        <v>1.8502661151480694E-14</v>
      </c>
      <c r="Q24">
        <v>3.4089490823308418E-4</v>
      </c>
      <c r="R24">
        <v>5.7267616141981441E-4</v>
      </c>
      <c r="T24" t="str">
        <f ca="1"/>
        <v>HIV/AIDS</v>
      </c>
      <c r="U24" s="16">
        <v>0</v>
      </c>
      <c r="W24">
        <v>76.2</v>
      </c>
      <c r="X24">
        <v>73.467897967816924</v>
      </c>
      <c r="Y24">
        <v>2.7321020321830787</v>
      </c>
      <c r="Z24">
        <v>2.7373432148729648</v>
      </c>
      <c r="AA24">
        <v>1.9146969446178215E-3</v>
      </c>
      <c r="AB24">
        <v>0.74203416907519171</v>
      </c>
      <c r="AC24">
        <v>9.6025705507945118E-5</v>
      </c>
      <c r="AD24">
        <v>-2.2435160869312201</v>
      </c>
      <c r="AE24">
        <v>-2.5666700606009161</v>
      </c>
    </row>
    <row r="25" spans="1:31" x14ac:dyDescent="0.25">
      <c r="L25" t="str">
        <f ca="1"/>
        <v>BMI</v>
      </c>
      <c r="M25">
        <v>3.7786174486517533E-2</v>
      </c>
      <c r="N25">
        <v>5.7366671259072898E-3</v>
      </c>
      <c r="O25">
        <v>6.586781777152777</v>
      </c>
      <c r="P25">
        <v>6.038397603852375E-11</v>
      </c>
      <c r="Q25">
        <v>2.6534199229963553E-2</v>
      </c>
      <c r="R25">
        <v>4.903814974307151E-2</v>
      </c>
      <c r="T25" t="str">
        <f ca="1"/>
        <v>GDP</v>
      </c>
      <c r="U25" s="16">
        <v>0</v>
      </c>
      <c r="W25">
        <v>76.099999999999994</v>
      </c>
      <c r="X25">
        <v>73.221740082678679</v>
      </c>
      <c r="Y25">
        <v>2.8782599173213157</v>
      </c>
      <c r="Z25">
        <v>2.8836940131808575</v>
      </c>
      <c r="AA25">
        <v>1.8844217988104673E-3</v>
      </c>
      <c r="AB25">
        <v>0.78171854101985216</v>
      </c>
      <c r="AC25">
        <v>1.0488307845259668E-4</v>
      </c>
      <c r="AD25">
        <v>-2.2073550198913567</v>
      </c>
      <c r="AE25">
        <v>-2.5641567437080162</v>
      </c>
    </row>
    <row r="26" spans="1:31" x14ac:dyDescent="0.25">
      <c r="L26" t="str">
        <f ca="1"/>
        <v>under-five deaths</v>
      </c>
      <c r="M26">
        <v>-1.9132603342127087E-3</v>
      </c>
      <c r="N26">
        <v>5.8805688120257998E-4</v>
      </c>
      <c r="O26">
        <v>-3.2535293699821679</v>
      </c>
      <c r="P26">
        <v>1.1630270467233002E-3</v>
      </c>
      <c r="Q26">
        <v>-3.0666829281184417E-3</v>
      </c>
      <c r="R26">
        <v>-7.5983774030697563E-4</v>
      </c>
      <c r="T26" t="str">
        <f ca="1"/>
        <v>Population</v>
      </c>
      <c r="U26" s="16">
        <v>0</v>
      </c>
      <c r="W26">
        <v>75.3</v>
      </c>
      <c r="X26">
        <v>74.451724838105136</v>
      </c>
      <c r="Y26">
        <v>0.84827516189486118</v>
      </c>
      <c r="Z26">
        <v>0.85099802570921668</v>
      </c>
      <c r="AA26">
        <v>3.1996123752291074E-3</v>
      </c>
      <c r="AB26">
        <v>0.23053850454882674</v>
      </c>
      <c r="AC26">
        <v>1.5508986852863561E-5</v>
      </c>
      <c r="AD26">
        <v>-2.2073550198913567</v>
      </c>
      <c r="AE26">
        <v>-2.5600353001534311</v>
      </c>
    </row>
    <row r="27" spans="1:31" x14ac:dyDescent="0.25">
      <c r="L27" t="str">
        <f ca="1"/>
        <v>Total expenditure</v>
      </c>
      <c r="M27">
        <v>7.0485567201925087E-2</v>
      </c>
      <c r="N27">
        <v>4.1519320247484323E-2</v>
      </c>
      <c r="O27">
        <v>1.6976570613820645</v>
      </c>
      <c r="P27">
        <v>8.9762455992388024E-2</v>
      </c>
      <c r="Q27">
        <v>-1.0950980159143503E-2</v>
      </c>
      <c r="R27">
        <v>0.15192211456299368</v>
      </c>
      <c r="T27" t="str">
        <f ca="1"/>
        <v>thinness 1-19 years</v>
      </c>
      <c r="U27" s="16">
        <v>0</v>
      </c>
      <c r="W27">
        <v>75.900000000000006</v>
      </c>
      <c r="X27">
        <v>73.794691662086208</v>
      </c>
      <c r="Y27">
        <v>2.1053083379137973</v>
      </c>
      <c r="Z27">
        <v>2.1122580319632931</v>
      </c>
      <c r="AA27">
        <v>3.2901728597215102E-3</v>
      </c>
      <c r="AB27">
        <v>0.57219249915793136</v>
      </c>
      <c r="AC27">
        <v>9.8252047816882893E-5</v>
      </c>
      <c r="AD27">
        <v>-2.1738689464820578</v>
      </c>
      <c r="AE27">
        <v>-2.5084423442205992</v>
      </c>
    </row>
    <row r="28" spans="1:31" x14ac:dyDescent="0.25">
      <c r="L28" t="str">
        <f ca="1"/>
        <v>Diphtheria</v>
      </c>
      <c r="M28">
        <v>2.1608105060740408E-2</v>
      </c>
      <c r="N28">
        <v>4.5786785154533624E-3</v>
      </c>
      <c r="O28">
        <v>4.7192885431487559</v>
      </c>
      <c r="P28">
        <v>2.5681053143476816E-6</v>
      </c>
      <c r="Q28">
        <v>1.2627424077712574E-2</v>
      </c>
      <c r="R28">
        <v>3.0588786043768242E-2</v>
      </c>
      <c r="T28" t="str">
        <f ca="1"/>
        <v>thinness 5-9 years</v>
      </c>
      <c r="U28" s="16">
        <v>0</v>
      </c>
      <c r="W28">
        <v>74.2</v>
      </c>
      <c r="X28">
        <v>70.145408841487097</v>
      </c>
      <c r="Y28">
        <v>4.0545911585129062</v>
      </c>
      <c r="Z28">
        <v>4.0734439346159235</v>
      </c>
      <c r="AA28">
        <v>4.6282154377549735E-3</v>
      </c>
      <c r="AB28">
        <v>1.1027199357936399</v>
      </c>
      <c r="AC28">
        <v>5.1400341918534092E-4</v>
      </c>
      <c r="AD28">
        <v>-2.1579999581558846</v>
      </c>
      <c r="AE28">
        <v>-2.4921248347510132</v>
      </c>
    </row>
    <row r="29" spans="1:31" x14ac:dyDescent="0.25">
      <c r="L29" t="str">
        <f ca="1"/>
        <v>HIV/AIDS</v>
      </c>
      <c r="M29">
        <v>-0.44045213187592375</v>
      </c>
      <c r="N29">
        <v>1.8247827782200909E-2</v>
      </c>
      <c r="O29">
        <v>-24.137236340291672</v>
      </c>
      <c r="P29">
        <v>2.225416661418682E-110</v>
      </c>
      <c r="Q29">
        <v>-0.47624366416893782</v>
      </c>
      <c r="R29">
        <v>-0.40466059958290967</v>
      </c>
      <c r="T29" t="str">
        <f ca="1"/>
        <v>Income composition of resources</v>
      </c>
      <c r="U29" s="16">
        <v>0</v>
      </c>
      <c r="W29">
        <v>73.5</v>
      </c>
      <c r="X29">
        <v>72.730401810955485</v>
      </c>
      <c r="Y29">
        <v>0.76959818904451538</v>
      </c>
      <c r="Z29">
        <v>0.77254271473104552</v>
      </c>
      <c r="AA29">
        <v>3.8114729844453332E-3</v>
      </c>
      <c r="AB29">
        <v>0.20922042947763317</v>
      </c>
      <c r="AC29">
        <v>1.5225333121086379E-5</v>
      </c>
      <c r="AD29">
        <v>-2.1426564926871321</v>
      </c>
      <c r="AE29">
        <v>-2.4854934033343148</v>
      </c>
    </row>
    <row r="30" spans="1:31" x14ac:dyDescent="0.25">
      <c r="L30" t="str">
        <f ca="1"/>
        <v>Income composition of resources</v>
      </c>
      <c r="M30">
        <v>10.553481973827365</v>
      </c>
      <c r="N30">
        <v>0.84720227311945917</v>
      </c>
      <c r="O30">
        <v>12.456862202421497</v>
      </c>
      <c r="P30">
        <v>4.2637580543880756E-34</v>
      </c>
      <c r="Q30">
        <v>8.8917681589563671</v>
      </c>
      <c r="R30">
        <v>12.215195788698363</v>
      </c>
      <c r="T30" t="str">
        <f ca="1"/>
        <v>Schooling</v>
      </c>
      <c r="U30" s="16">
        <v>0</v>
      </c>
      <c r="W30">
        <v>73</v>
      </c>
      <c r="X30">
        <v>72.849911445225885</v>
      </c>
      <c r="Y30">
        <v>0.15008855477411487</v>
      </c>
      <c r="Z30">
        <v>0.15059318659385212</v>
      </c>
      <c r="AA30">
        <v>3.3509604993172655E-3</v>
      </c>
      <c r="AB30">
        <v>4.0793152550711712E-2</v>
      </c>
      <c r="AC30">
        <v>5.0863812510965573E-7</v>
      </c>
      <c r="AD30">
        <v>-2.1426564926871321</v>
      </c>
      <c r="AE30">
        <v>-2.4632563372127998</v>
      </c>
    </row>
    <row r="31" spans="1:31" x14ac:dyDescent="0.25">
      <c r="L31" t="str">
        <f ca="1"/>
        <v>Schooling</v>
      </c>
      <c r="M31">
        <v>0.91991104700188397</v>
      </c>
      <c r="N31">
        <v>6.0020876462285086E-2</v>
      </c>
      <c r="O31">
        <v>15.326518058761142</v>
      </c>
      <c r="P31">
        <v>1.1937878360771489E-49</v>
      </c>
      <c r="Q31">
        <v>0.80218530102294094</v>
      </c>
      <c r="R31">
        <v>1.037636792980827</v>
      </c>
      <c r="W31">
        <v>72.8</v>
      </c>
      <c r="X31">
        <v>72.457186356720811</v>
      </c>
      <c r="Y31">
        <v>0.34281364327918595</v>
      </c>
      <c r="Z31">
        <v>0.3440185950880732</v>
      </c>
      <c r="AA31">
        <v>3.5025775527511033E-3</v>
      </c>
      <c r="AB31">
        <v>9.3181742565966702E-2</v>
      </c>
      <c r="AC31">
        <v>2.7744733067871115E-6</v>
      </c>
      <c r="AD31">
        <v>-2.1426564926871321</v>
      </c>
      <c r="AE31">
        <v>-2.4279688722536501</v>
      </c>
    </row>
    <row r="32" spans="1:31" x14ac:dyDescent="0.25">
      <c r="W32">
        <v>73.3</v>
      </c>
      <c r="X32">
        <v>72.54869429153338</v>
      </c>
      <c r="Y32">
        <v>0.75130570846661726</v>
      </c>
      <c r="Z32">
        <v>0.75389285787767335</v>
      </c>
      <c r="AA32">
        <v>3.4317202822988996E-3</v>
      </c>
      <c r="AB32">
        <v>0.20420857691900382</v>
      </c>
      <c r="AC32">
        <v>1.3054495544529833E-5</v>
      </c>
      <c r="AD32">
        <v>-2.0994271873972417</v>
      </c>
      <c r="AE32">
        <v>-2.407963294643082</v>
      </c>
    </row>
    <row r="33" spans="23:31" x14ac:dyDescent="0.25">
      <c r="W33">
        <v>73.599999999999994</v>
      </c>
      <c r="X33">
        <v>72.261163922086212</v>
      </c>
      <c r="Y33">
        <v>1.3388360779137827</v>
      </c>
      <c r="Z33">
        <v>1.3435353931567846</v>
      </c>
      <c r="AA33">
        <v>3.4977234443785716E-3</v>
      </c>
      <c r="AB33">
        <v>0.36391426463182225</v>
      </c>
      <c r="AC33">
        <v>4.2258360747332452E-5</v>
      </c>
      <c r="AD33">
        <v>-2.0994271873972417</v>
      </c>
      <c r="AE33">
        <v>-2.4035746426179383</v>
      </c>
    </row>
    <row r="34" spans="23:31" x14ac:dyDescent="0.25">
      <c r="W34">
        <v>72.599999999999994</v>
      </c>
      <c r="X34">
        <v>72.377896449026494</v>
      </c>
      <c r="Y34">
        <v>0.22210355097350032</v>
      </c>
      <c r="Z34">
        <v>0.22284166059949939</v>
      </c>
      <c r="AA34">
        <v>3.3122604813418067E-3</v>
      </c>
      <c r="AB34">
        <v>6.0365216716591445E-2</v>
      </c>
      <c r="AC34">
        <v>1.1008957882131523E-6</v>
      </c>
      <c r="AD34">
        <v>-2.0994271873972417</v>
      </c>
      <c r="AE34">
        <v>-2.4001282471317325</v>
      </c>
    </row>
    <row r="35" spans="23:31" x14ac:dyDescent="0.25">
      <c r="W35">
        <v>75.400000000000006</v>
      </c>
      <c r="X35">
        <v>77.489203260815486</v>
      </c>
      <c r="Y35">
        <v>-2.0892032608154807</v>
      </c>
      <c r="Z35">
        <v>-2.0992416849334035</v>
      </c>
      <c r="AA35">
        <v>4.7819287269186316E-3</v>
      </c>
      <c r="AB35">
        <v>-0.56824076762837994</v>
      </c>
      <c r="AC35">
        <v>1.4104475376077038E-4</v>
      </c>
      <c r="AD35">
        <v>-2.0597982810364517</v>
      </c>
      <c r="AE35">
        <v>-2.3886808496375118</v>
      </c>
    </row>
    <row r="36" spans="23:31" x14ac:dyDescent="0.25">
      <c r="W36">
        <v>75.3</v>
      </c>
      <c r="X36">
        <v>75.740695938811001</v>
      </c>
      <c r="Y36">
        <v>-0.44069593881100388</v>
      </c>
      <c r="Z36">
        <v>-0.44235432009675435</v>
      </c>
      <c r="AA36">
        <v>3.74898856054557E-3</v>
      </c>
      <c r="AB36">
        <v>-0.11980238961219732</v>
      </c>
      <c r="AC36">
        <v>4.910024013801439E-6</v>
      </c>
      <c r="AD36">
        <v>-2.0597982810364517</v>
      </c>
      <c r="AE36">
        <v>-2.3733493491301729</v>
      </c>
    </row>
    <row r="37" spans="23:31" x14ac:dyDescent="0.25">
      <c r="W37">
        <v>75.099999999999994</v>
      </c>
      <c r="X37">
        <v>75.552244503112462</v>
      </c>
      <c r="Y37">
        <v>-0.45224450311246756</v>
      </c>
      <c r="Z37">
        <v>-0.45381980421667834</v>
      </c>
      <c r="AA37">
        <v>3.471203965914698E-3</v>
      </c>
      <c r="AB37">
        <v>-0.12292470946854656</v>
      </c>
      <c r="AC37">
        <v>4.7849342714318284E-6</v>
      </c>
      <c r="AD37">
        <v>-2.0597982810364517</v>
      </c>
      <c r="AE37">
        <v>-2.3558244694235042</v>
      </c>
    </row>
    <row r="38" spans="23:31" x14ac:dyDescent="0.25">
      <c r="W38">
        <v>74.900000000000006</v>
      </c>
      <c r="X38">
        <v>74.93194807468322</v>
      </c>
      <c r="Y38">
        <v>-3.1948074683214145E-2</v>
      </c>
      <c r="Z38">
        <v>-3.2052956011213496E-2</v>
      </c>
      <c r="AA38">
        <v>3.2721265384838411E-3</v>
      </c>
      <c r="AB38">
        <v>-8.6829481826459567E-3</v>
      </c>
      <c r="AC38">
        <v>2.2500658079049222E-8</v>
      </c>
      <c r="AD38">
        <v>-2.0231624874260845</v>
      </c>
      <c r="AE38">
        <v>-2.3377331641090193</v>
      </c>
    </row>
    <row r="39" spans="23:31" x14ac:dyDescent="0.25">
      <c r="W39">
        <v>74.7</v>
      </c>
      <c r="X39">
        <v>74.325085866002809</v>
      </c>
      <c r="Y39">
        <v>0.3749141339971942</v>
      </c>
      <c r="Z39">
        <v>0.37606772396924271</v>
      </c>
      <c r="AA39">
        <v>3.0675059265260008E-3</v>
      </c>
      <c r="AB39">
        <v>0.10188488451637656</v>
      </c>
      <c r="AC39">
        <v>2.903664859483026E-6</v>
      </c>
      <c r="AD39">
        <v>-2.0231624874260845</v>
      </c>
      <c r="AE39">
        <v>-2.3368760719970694</v>
      </c>
    </row>
    <row r="40" spans="23:31" x14ac:dyDescent="0.25">
      <c r="W40">
        <v>74.400000000000006</v>
      </c>
      <c r="X40">
        <v>73.634336511424394</v>
      </c>
      <c r="Y40">
        <v>0.76566348857561195</v>
      </c>
      <c r="Z40">
        <v>0.76773042691760907</v>
      </c>
      <c r="AA40">
        <v>2.6922709710638995E-3</v>
      </c>
      <c r="AB40">
        <v>0.20803392616061397</v>
      </c>
      <c r="AC40">
        <v>1.0620995613856868E-5</v>
      </c>
      <c r="AD40">
        <v>-2.0001681446016244</v>
      </c>
      <c r="AE40">
        <v>-2.3055573725574008</v>
      </c>
    </row>
    <row r="41" spans="23:31" x14ac:dyDescent="0.25">
      <c r="W41">
        <v>74.099999999999994</v>
      </c>
      <c r="X41">
        <v>72.735443220350191</v>
      </c>
      <c r="Y41">
        <v>1.3645567796498028</v>
      </c>
      <c r="Z41">
        <v>1.3683966603384334</v>
      </c>
      <c r="AA41">
        <v>2.8061166764925369E-3</v>
      </c>
      <c r="AB41">
        <v>0.3707768654354216</v>
      </c>
      <c r="AC41">
        <v>3.5168892388047124E-5</v>
      </c>
      <c r="AD41">
        <v>-1.9890565032593337</v>
      </c>
      <c r="AE41">
        <v>-2.2976948305815106</v>
      </c>
    </row>
    <row r="42" spans="23:31" x14ac:dyDescent="0.25">
      <c r="W42">
        <v>73.8</v>
      </c>
      <c r="X42">
        <v>70.738020689649559</v>
      </c>
      <c r="Y42">
        <v>3.0619793103504378</v>
      </c>
      <c r="Z42">
        <v>3.0780543365400348</v>
      </c>
      <c r="AA42">
        <v>5.2224634239787524E-3</v>
      </c>
      <c r="AB42">
        <v>0.83300975453026227</v>
      </c>
      <c r="AC42">
        <v>3.3117452811447224E-4</v>
      </c>
      <c r="AD42">
        <v>-1.9781851538562727</v>
      </c>
      <c r="AE42">
        <v>-2.2668606657267074</v>
      </c>
    </row>
    <row r="43" spans="23:31" x14ac:dyDescent="0.25">
      <c r="W43">
        <v>73.400000000000006</v>
      </c>
      <c r="X43">
        <v>72.256233189387217</v>
      </c>
      <c r="Y43">
        <v>1.1437668106127887</v>
      </c>
      <c r="Z43">
        <v>1.1473882859709903</v>
      </c>
      <c r="AA43">
        <v>3.1562770881314365E-3</v>
      </c>
      <c r="AB43">
        <v>0.31083847599168918</v>
      </c>
      <c r="AC43">
        <v>2.7811531258250104E-5</v>
      </c>
      <c r="AD43">
        <v>-1.9675426916276542</v>
      </c>
      <c r="AE43">
        <v>-2.2619456794219976</v>
      </c>
    </row>
    <row r="44" spans="23:31" x14ac:dyDescent="0.25">
      <c r="W44">
        <v>72.900000000000006</v>
      </c>
      <c r="X44">
        <v>71.517278844822641</v>
      </c>
      <c r="Y44">
        <v>1.3827211551773644</v>
      </c>
      <c r="Z44">
        <v>1.3867354208567946</v>
      </c>
      <c r="AA44">
        <v>2.8947596052224839E-3</v>
      </c>
      <c r="AB44">
        <v>0.3757291829617555</v>
      </c>
      <c r="AC44">
        <v>3.7258783921501926E-5</v>
      </c>
      <c r="AD44">
        <v>-1.957118520190694</v>
      </c>
      <c r="AE44">
        <v>-2.2598882865029686</v>
      </c>
    </row>
    <row r="45" spans="23:31" x14ac:dyDescent="0.25">
      <c r="W45">
        <v>72.3</v>
      </c>
      <c r="X45">
        <v>73.420172597927305</v>
      </c>
      <c r="Y45">
        <v>-1.1201725979273078</v>
      </c>
      <c r="Z45">
        <v>-1.1242493561817071</v>
      </c>
      <c r="AA45">
        <v>3.6262046600149529E-3</v>
      </c>
      <c r="AB45">
        <v>-0.30449812034315366</v>
      </c>
      <c r="AC45">
        <v>3.0676553249814053E-5</v>
      </c>
      <c r="AD45">
        <v>-1.94690277624242</v>
      </c>
      <c r="AE45">
        <v>-2.2394357285626874</v>
      </c>
    </row>
    <row r="46" spans="23:31" x14ac:dyDescent="0.25">
      <c r="W46">
        <v>51.7</v>
      </c>
      <c r="X46">
        <v>62.295005337543373</v>
      </c>
      <c r="Y46">
        <v>-10.59500533754337</v>
      </c>
      <c r="Z46">
        <v>-10.650978409261647</v>
      </c>
      <c r="AA46">
        <v>5.2552046927075036E-3</v>
      </c>
      <c r="AB46">
        <v>-2.8824126965037986</v>
      </c>
      <c r="AC46">
        <v>3.9902269746918319E-3</v>
      </c>
      <c r="AD46">
        <v>-1.9368862628682149</v>
      </c>
      <c r="AE46">
        <v>-2.2051362956086145</v>
      </c>
    </row>
    <row r="47" spans="23:31" x14ac:dyDescent="0.25">
      <c r="W47">
        <v>51.1</v>
      </c>
      <c r="X47">
        <v>62.338381616169876</v>
      </c>
      <c r="Y47">
        <v>-11.238381616169875</v>
      </c>
      <c r="Z47">
        <v>-11.287694584501267</v>
      </c>
      <c r="AA47">
        <v>4.3687369428918391E-3</v>
      </c>
      <c r="AB47">
        <v>-3.0560843198779688</v>
      </c>
      <c r="AC47">
        <v>3.7255924949067087E-3</v>
      </c>
      <c r="AD47">
        <v>-1.9270603903023944</v>
      </c>
      <c r="AE47">
        <v>-2.2010400869221303</v>
      </c>
    </row>
    <row r="48" spans="23:31" x14ac:dyDescent="0.25">
      <c r="W48">
        <v>56</v>
      </c>
      <c r="X48">
        <v>60.926033008763866</v>
      </c>
      <c r="Y48">
        <v>-4.9260330087638664</v>
      </c>
      <c r="Z48">
        <v>-4.9504848365859502</v>
      </c>
      <c r="AA48">
        <v>4.9392794098423723E-3</v>
      </c>
      <c r="AB48">
        <v>-1.3399338116349675</v>
      </c>
      <c r="AC48">
        <v>8.1019212681461626E-4</v>
      </c>
      <c r="AD48">
        <v>-1.9270603903023944</v>
      </c>
      <c r="AE48">
        <v>-2.2005702109338574</v>
      </c>
    </row>
    <row r="49" spans="23:31" x14ac:dyDescent="0.25">
      <c r="W49">
        <v>51</v>
      </c>
      <c r="X49">
        <v>59.850791340766158</v>
      </c>
      <c r="Y49">
        <v>-8.8507913407661576</v>
      </c>
      <c r="Z49">
        <v>-8.8980733761674884</v>
      </c>
      <c r="AA49">
        <v>5.3137385367005375E-3</v>
      </c>
      <c r="AB49">
        <v>-2.407963294643082</v>
      </c>
      <c r="AC49">
        <v>2.8159251163648604E-3</v>
      </c>
      <c r="AD49">
        <v>-1.907948933309944</v>
      </c>
      <c r="AE49">
        <v>-2.1782892123016748</v>
      </c>
    </row>
    <row r="50" spans="23:31" x14ac:dyDescent="0.25">
      <c r="W50">
        <v>49.6</v>
      </c>
      <c r="X50">
        <v>58.754835241961068</v>
      </c>
      <c r="Y50">
        <v>-9.1548352419610666</v>
      </c>
      <c r="Z50">
        <v>-9.2144074711230459</v>
      </c>
      <c r="AA50">
        <v>6.4651177353153358E-3</v>
      </c>
      <c r="AB50">
        <v>-2.4921248347510132</v>
      </c>
      <c r="AC50">
        <v>3.6740090326170122E-3</v>
      </c>
      <c r="AD50">
        <v>-1.8986487576703672</v>
      </c>
      <c r="AE50">
        <v>-2.1633224516989382</v>
      </c>
    </row>
    <row r="51" spans="23:31" x14ac:dyDescent="0.25">
      <c r="W51">
        <v>49.1</v>
      </c>
      <c r="X51">
        <v>57.402540426997021</v>
      </c>
      <c r="Y51">
        <v>-8.3025404269970196</v>
      </c>
      <c r="Z51">
        <v>-8.4065347860422364</v>
      </c>
      <c r="AA51">
        <v>1.2370657077144451E-2</v>
      </c>
      <c r="AB51">
        <v>-2.2668606657267074</v>
      </c>
      <c r="AC51">
        <v>5.851345628470621E-3</v>
      </c>
      <c r="AD51">
        <v>-1.8895099603334302</v>
      </c>
      <c r="AE51">
        <v>-2.1517300421343264</v>
      </c>
    </row>
    <row r="52" spans="23:31" x14ac:dyDescent="0.25">
      <c r="W52">
        <v>48.7</v>
      </c>
      <c r="X52">
        <v>58.132514189010493</v>
      </c>
      <c r="Y52">
        <v>-9.4325141890104902</v>
      </c>
      <c r="Z52">
        <v>-9.4861717239263612</v>
      </c>
      <c r="AA52">
        <v>5.656395064041574E-3</v>
      </c>
      <c r="AB52">
        <v>-2.5666700606009161</v>
      </c>
      <c r="AC52">
        <v>3.406831498701691E-3</v>
      </c>
      <c r="AD52">
        <v>-1.8805262984826756</v>
      </c>
      <c r="AE52">
        <v>-2.1271044471717242</v>
      </c>
    </row>
    <row r="53" spans="23:31" x14ac:dyDescent="0.25">
      <c r="W53">
        <v>48.2</v>
      </c>
      <c r="X53">
        <v>57.607540019485384</v>
      </c>
      <c r="Y53">
        <v>-9.4075400194853813</v>
      </c>
      <c r="Z53">
        <v>-9.4622450939984759</v>
      </c>
      <c r="AA53">
        <v>5.7814053609527216E-3</v>
      </c>
      <c r="AB53">
        <v>-2.5600353001534311</v>
      </c>
      <c r="AC53">
        <v>3.464581339435174E-3</v>
      </c>
      <c r="AD53">
        <v>-1.8805262984826756</v>
      </c>
      <c r="AE53">
        <v>-2.112445511720376</v>
      </c>
    </row>
    <row r="54" spans="23:31" x14ac:dyDescent="0.25">
      <c r="W54">
        <v>76.2</v>
      </c>
      <c r="X54">
        <v>78.705974753187377</v>
      </c>
      <c r="Y54">
        <v>-2.5059747531873739</v>
      </c>
      <c r="Z54">
        <v>-2.5159635553091988</v>
      </c>
      <c r="AA54">
        <v>3.970169639679169E-3</v>
      </c>
      <c r="AB54">
        <v>-0.68132031515426539</v>
      </c>
      <c r="AC54">
        <v>1.6820802462027995E-4</v>
      </c>
      <c r="AD54">
        <v>-1.8630011940066851</v>
      </c>
      <c r="AE54">
        <v>-2.0861082818048122</v>
      </c>
    </row>
    <row r="55" spans="23:31" x14ac:dyDescent="0.25">
      <c r="W55">
        <v>76</v>
      </c>
      <c r="X55">
        <v>78.694042139726974</v>
      </c>
      <c r="Y55">
        <v>-2.6940421397269745</v>
      </c>
      <c r="Z55">
        <v>-2.7043056531249903</v>
      </c>
      <c r="AA55">
        <v>3.7952490267367314E-3</v>
      </c>
      <c r="AB55">
        <v>-0.73238746112501796</v>
      </c>
      <c r="AC55">
        <v>1.8577222577197998E-4</v>
      </c>
      <c r="AD55">
        <v>-1.8544489690938102</v>
      </c>
      <c r="AE55">
        <v>-2.0857303971837409</v>
      </c>
    </row>
    <row r="56" spans="23:31" x14ac:dyDescent="0.25">
      <c r="W56">
        <v>75.900000000000006</v>
      </c>
      <c r="X56">
        <v>80.511000591089598</v>
      </c>
      <c r="Y56">
        <v>-4.6110005910895921</v>
      </c>
      <c r="Z56">
        <v>-4.6288789132046588</v>
      </c>
      <c r="AA56">
        <v>3.862343874250905E-3</v>
      </c>
      <c r="AB56">
        <v>-1.2535634445589858</v>
      </c>
      <c r="AC56">
        <v>5.5390021389337346E-4</v>
      </c>
      <c r="AD56">
        <v>-1.8544489690938102</v>
      </c>
      <c r="AE56">
        <v>-2.0842390505992121</v>
      </c>
    </row>
    <row r="57" spans="23:31" x14ac:dyDescent="0.25">
      <c r="W57">
        <v>75.7</v>
      </c>
      <c r="X57">
        <v>78.53302507627626</v>
      </c>
      <c r="Y57">
        <v>-2.8330250762762574</v>
      </c>
      <c r="Z57">
        <v>-2.8602617019143111</v>
      </c>
      <c r="AA57">
        <v>9.5224243361445755E-3</v>
      </c>
      <c r="AB57">
        <v>-0.77239404160487046</v>
      </c>
      <c r="AC57">
        <v>5.2142041089366944E-4</v>
      </c>
      <c r="AD57">
        <v>-1.8544489690938102</v>
      </c>
      <c r="AE57">
        <v>-2.0609335249350731</v>
      </c>
    </row>
    <row r="58" spans="23:31" x14ac:dyDescent="0.25">
      <c r="W58">
        <v>75.5</v>
      </c>
      <c r="X58">
        <v>77.656517440631916</v>
      </c>
      <c r="Y58">
        <v>-2.1565174406319159</v>
      </c>
      <c r="Z58">
        <v>-2.1637234788408364</v>
      </c>
      <c r="AA58">
        <v>3.3303877687665007E-3</v>
      </c>
      <c r="AB58">
        <v>-0.58612222054239527</v>
      </c>
      <c r="AC58">
        <v>1.0435836664431408E-4</v>
      </c>
      <c r="AD58">
        <v>-1.8295749434197282</v>
      </c>
      <c r="AE58">
        <v>-2.0467432057350821</v>
      </c>
    </row>
    <row r="59" spans="23:31" x14ac:dyDescent="0.25">
      <c r="W59">
        <v>75.599999999999994</v>
      </c>
      <c r="X59">
        <v>77.795041994145322</v>
      </c>
      <c r="Y59">
        <v>-2.1950419941453276</v>
      </c>
      <c r="Z59">
        <v>-2.2007039379947315</v>
      </c>
      <c r="AA59">
        <v>2.5727876211143553E-3</v>
      </c>
      <c r="AB59">
        <v>-0.59636623546146772</v>
      </c>
      <c r="AC59">
        <v>8.3398095588973765E-5</v>
      </c>
      <c r="AD59">
        <v>-1.8215296776288319</v>
      </c>
      <c r="AE59">
        <v>-2.0270291134574663</v>
      </c>
    </row>
    <row r="60" spans="23:31" x14ac:dyDescent="0.25">
      <c r="W60">
        <v>75.400000000000006</v>
      </c>
      <c r="X60">
        <v>77.476982415388306</v>
      </c>
      <c r="Y60">
        <v>-2.0769824153883008</v>
      </c>
      <c r="Z60">
        <v>-2.0817596895652315</v>
      </c>
      <c r="AA60">
        <v>2.2948249987158149E-3</v>
      </c>
      <c r="AB60">
        <v>-0.56421227083367598</v>
      </c>
      <c r="AC60">
        <v>6.6564046705179148E-5</v>
      </c>
      <c r="AD60">
        <v>-1.8215296776288319</v>
      </c>
      <c r="AE60">
        <v>-2.0249106526263181</v>
      </c>
    </row>
    <row r="61" spans="23:31" x14ac:dyDescent="0.25">
      <c r="W61">
        <v>74.8</v>
      </c>
      <c r="X61">
        <v>77.183307222566825</v>
      </c>
      <c r="Y61">
        <v>-2.3833072225668275</v>
      </c>
      <c r="Z61">
        <v>-2.3890025776974539</v>
      </c>
      <c r="AA61">
        <v>2.3839886920965182E-3</v>
      </c>
      <c r="AB61">
        <v>-0.64745433611171954</v>
      </c>
      <c r="AC61">
        <v>9.1068122421476117E-5</v>
      </c>
      <c r="AD61">
        <v>-1.8215296776288319</v>
      </c>
      <c r="AE61">
        <v>-2.0220616813961851</v>
      </c>
    </row>
    <row r="62" spans="23:31" x14ac:dyDescent="0.25">
      <c r="W62">
        <v>75.2</v>
      </c>
      <c r="X62">
        <v>76.93911620361132</v>
      </c>
      <c r="Y62">
        <v>-1.7391162036113172</v>
      </c>
      <c r="Z62">
        <v>-1.7430086527616453</v>
      </c>
      <c r="AA62">
        <v>2.2331783288374171E-3</v>
      </c>
      <c r="AB62">
        <v>-0.4724163200658168</v>
      </c>
      <c r="AC62">
        <v>4.5409994130372178E-5</v>
      </c>
      <c r="AD62">
        <v>-1.7980761038936304</v>
      </c>
      <c r="AE62">
        <v>-2.0186863630671446</v>
      </c>
    </row>
    <row r="63" spans="23:31" x14ac:dyDescent="0.25">
      <c r="W63">
        <v>74.900000000000006</v>
      </c>
      <c r="X63">
        <v>76.868026111868346</v>
      </c>
      <c r="Y63">
        <v>-1.9680261118683404</v>
      </c>
      <c r="Z63">
        <v>-1.9737966529723963</v>
      </c>
      <c r="AA63">
        <v>2.9235742675752154E-3</v>
      </c>
      <c r="AB63">
        <v>-0.53478282651414055</v>
      </c>
      <c r="AC63">
        <v>7.6233858548371678E-5</v>
      </c>
      <c r="AD63">
        <v>-1.7980761038936304</v>
      </c>
      <c r="AE63">
        <v>-2.0024005669198597</v>
      </c>
    </row>
    <row r="64" spans="23:31" x14ac:dyDescent="0.25">
      <c r="W64">
        <v>74.7</v>
      </c>
      <c r="X64">
        <v>79.132574960064559</v>
      </c>
      <c r="Y64">
        <v>-4.4325749600645565</v>
      </c>
      <c r="Z64">
        <v>-4.4459945480685406</v>
      </c>
      <c r="AA64">
        <v>3.0183545793627826E-3</v>
      </c>
      <c r="AB64">
        <v>-1.2045458267591795</v>
      </c>
      <c r="AC64">
        <v>3.9933471267064065E-4</v>
      </c>
      <c r="AD64">
        <v>-1.7980761038936304</v>
      </c>
      <c r="AE64">
        <v>-2.0015625416054483</v>
      </c>
    </row>
    <row r="65" spans="23:31" x14ac:dyDescent="0.25">
      <c r="W65">
        <v>74.099999999999994</v>
      </c>
      <c r="X65">
        <v>76.653353254653808</v>
      </c>
      <c r="Y65">
        <v>-2.553353254653814</v>
      </c>
      <c r="Z65">
        <v>-2.5622140633738155</v>
      </c>
      <c r="AA65">
        <v>3.4582624639642526E-3</v>
      </c>
      <c r="AB65">
        <v>-0.69402318172620503</v>
      </c>
      <c r="AC65">
        <v>1.5195595592595694E-4</v>
      </c>
      <c r="AD65">
        <v>-1.7755718253255368</v>
      </c>
      <c r="AE65">
        <v>-1.9815467670389419</v>
      </c>
    </row>
    <row r="66" spans="23:31" x14ac:dyDescent="0.25">
      <c r="W66">
        <v>74.099999999999994</v>
      </c>
      <c r="X66">
        <v>76.696100428808705</v>
      </c>
      <c r="Y66">
        <v>-2.5961004288087111</v>
      </c>
      <c r="Z66">
        <v>-2.6040489994577598</v>
      </c>
      <c r="AA66">
        <v>3.0523890490160733E-3</v>
      </c>
      <c r="AB66">
        <v>-0.70549857430196783</v>
      </c>
      <c r="AC66">
        <v>1.3853743597987429E-4</v>
      </c>
      <c r="AD66">
        <v>-1.7755718253255368</v>
      </c>
      <c r="AE66">
        <v>-1.9795582136813172</v>
      </c>
    </row>
    <row r="67" spans="23:31" x14ac:dyDescent="0.25">
      <c r="W67">
        <v>74.599999999999994</v>
      </c>
      <c r="X67">
        <v>75.277235372887318</v>
      </c>
      <c r="Y67">
        <v>-0.67723537288732416</v>
      </c>
      <c r="Z67">
        <v>-0.67907849173451496</v>
      </c>
      <c r="AA67">
        <v>2.7141469942377305E-3</v>
      </c>
      <c r="AB67">
        <v>-0.18400966074280234</v>
      </c>
      <c r="AC67">
        <v>8.3772653203077887E-6</v>
      </c>
      <c r="AD67">
        <v>-1.7610542000458449</v>
      </c>
      <c r="AE67">
        <v>-1.9605129876933254</v>
      </c>
    </row>
    <row r="68" spans="23:31" x14ac:dyDescent="0.25">
      <c r="W68">
        <v>74.400000000000006</v>
      </c>
      <c r="X68">
        <v>73.256305590915545</v>
      </c>
      <c r="Y68">
        <v>1.1436944090844605</v>
      </c>
      <c r="Z68">
        <v>1.1457711619075752</v>
      </c>
      <c r="AA68">
        <v>1.8125371733495148E-3</v>
      </c>
      <c r="AB68">
        <v>0.31060952015170185</v>
      </c>
      <c r="AC68">
        <v>1.5926181164633855E-5</v>
      </c>
      <c r="AD68">
        <v>-1.7610542000458449</v>
      </c>
      <c r="AE68">
        <v>-1.9599088095068271</v>
      </c>
    </row>
    <row r="69" spans="23:31" x14ac:dyDescent="0.25">
      <c r="W69">
        <v>74.400000000000006</v>
      </c>
      <c r="X69">
        <v>73.207172178631467</v>
      </c>
      <c r="Y69">
        <v>1.1928278213685388</v>
      </c>
      <c r="Z69">
        <v>1.1949387002661922</v>
      </c>
      <c r="AA69">
        <v>1.7665164725087328E-3</v>
      </c>
      <c r="AB69">
        <v>0.32394591918189131</v>
      </c>
      <c r="AC69">
        <v>1.6882544377063388E-5</v>
      </c>
      <c r="AD69">
        <v>-1.7468985212689381</v>
      </c>
      <c r="AE69">
        <v>-1.8872915436074325</v>
      </c>
    </row>
    <row r="70" spans="23:31" x14ac:dyDescent="0.25">
      <c r="W70">
        <v>73.900000000000006</v>
      </c>
      <c r="X70">
        <v>72.943236480896573</v>
      </c>
      <c r="Y70">
        <v>0.95676351910343271</v>
      </c>
      <c r="Z70">
        <v>0.95875218886033053</v>
      </c>
      <c r="AA70">
        <v>2.0742270839168029E-3</v>
      </c>
      <c r="AB70">
        <v>0.25987608049880995</v>
      </c>
      <c r="AC70">
        <v>1.2761390329466803E-5</v>
      </c>
      <c r="AD70">
        <v>-1.739949995904148</v>
      </c>
      <c r="AE70">
        <v>-1.8767578235871705</v>
      </c>
    </row>
    <row r="71" spans="23:31" x14ac:dyDescent="0.25">
      <c r="W71">
        <v>73.5</v>
      </c>
      <c r="X71">
        <v>72.389819000072009</v>
      </c>
      <c r="Y71">
        <v>1.1101809999279908</v>
      </c>
      <c r="Z71">
        <v>1.1120428916049576</v>
      </c>
      <c r="AA71">
        <v>1.6742984385115234E-3</v>
      </c>
      <c r="AB71">
        <v>0.30148692649577902</v>
      </c>
      <c r="AC71">
        <v>1.3858138703891187E-5</v>
      </c>
      <c r="AD71">
        <v>-1.7330844772440359</v>
      </c>
      <c r="AE71">
        <v>-1.8483405881584163</v>
      </c>
    </row>
    <row r="72" spans="23:31" x14ac:dyDescent="0.25">
      <c r="W72">
        <v>73.3</v>
      </c>
      <c r="X72">
        <v>70.257154512508961</v>
      </c>
      <c r="Y72">
        <v>3.0428454874910358</v>
      </c>
      <c r="Z72">
        <v>3.0563495219119119</v>
      </c>
      <c r="AA72">
        <v>4.418354093358029E-3</v>
      </c>
      <c r="AB72">
        <v>0.82747004154193959</v>
      </c>
      <c r="AC72">
        <v>2.7624568914367821E-4</v>
      </c>
      <c r="AD72">
        <v>-1.7262996894247766</v>
      </c>
      <c r="AE72">
        <v>-1.8476672833543502</v>
      </c>
    </row>
    <row r="73" spans="23:31" x14ac:dyDescent="0.25">
      <c r="W73">
        <v>73.2</v>
      </c>
      <c r="X73">
        <v>72.558798237106487</v>
      </c>
      <c r="Y73">
        <v>0.64120176289351605</v>
      </c>
      <c r="Z73">
        <v>0.64524748391200148</v>
      </c>
      <c r="AA73">
        <v>6.2700299022623047E-3</v>
      </c>
      <c r="AB73">
        <v>0.17453050035420917</v>
      </c>
      <c r="AC73">
        <v>1.7472345398345096E-5</v>
      </c>
      <c r="AD73">
        <v>-1.7262996894247766</v>
      </c>
      <c r="AE73">
        <v>-1.8424513647994685</v>
      </c>
    </row>
    <row r="74" spans="23:31" x14ac:dyDescent="0.25">
      <c r="W74">
        <v>73.5</v>
      </c>
      <c r="X74">
        <v>71.437084606548751</v>
      </c>
      <c r="Y74">
        <v>2.0629153934512487</v>
      </c>
      <c r="Z74">
        <v>2.0667523565513335</v>
      </c>
      <c r="AA74">
        <v>1.8565180719041958E-3</v>
      </c>
      <c r="AB74">
        <v>0.56026791078296134</v>
      </c>
      <c r="AC74">
        <v>5.3076835154427132E-5</v>
      </c>
      <c r="AD74">
        <v>-1.7129636683890181</v>
      </c>
      <c r="AE74">
        <v>-1.8412488546179182</v>
      </c>
    </row>
    <row r="75" spans="23:31" x14ac:dyDescent="0.25">
      <c r="W75">
        <v>72.900000000000006</v>
      </c>
      <c r="X75">
        <v>70.723768417290259</v>
      </c>
      <c r="Y75">
        <v>2.1762315827097467</v>
      </c>
      <c r="Z75">
        <v>2.1803690879748814</v>
      </c>
      <c r="AA75">
        <v>1.8976169163071521E-3</v>
      </c>
      <c r="AB75">
        <v>0.59105566269113652</v>
      </c>
      <c r="AC75">
        <v>6.0380614776466261E-5</v>
      </c>
      <c r="AD75">
        <v>-1.7129636683890181</v>
      </c>
      <c r="AE75">
        <v>-1.8395935966823265</v>
      </c>
    </row>
    <row r="76" spans="23:31" x14ac:dyDescent="0.25">
      <c r="W76">
        <v>73</v>
      </c>
      <c r="X76">
        <v>68.604819804142863</v>
      </c>
      <c r="Y76">
        <v>4.3951801958571366</v>
      </c>
      <c r="Z76">
        <v>4.4419617292101208</v>
      </c>
      <c r="AA76">
        <v>1.0531728142851113E-2</v>
      </c>
      <c r="AB76">
        <v>1.1989099620055359</v>
      </c>
      <c r="AC76">
        <v>1.3908433548432974E-3</v>
      </c>
      <c r="AD76">
        <v>-1.6999255180307868</v>
      </c>
      <c r="AE76">
        <v>-1.8287539273254978</v>
      </c>
    </row>
    <row r="77" spans="23:31" x14ac:dyDescent="0.25">
      <c r="W77">
        <v>73</v>
      </c>
      <c r="X77">
        <v>70.430284414298768</v>
      </c>
      <c r="Y77">
        <v>2.5697155857012319</v>
      </c>
      <c r="Z77">
        <v>2.5744363352057178</v>
      </c>
      <c r="AA77">
        <v>1.8337021739191833E-3</v>
      </c>
      <c r="AB77">
        <v>0.69790197525977837</v>
      </c>
      <c r="AC77">
        <v>8.1343352491722331E-5</v>
      </c>
      <c r="AD77">
        <v>-1.6935133675401242</v>
      </c>
      <c r="AE77">
        <v>-1.8180093308459235</v>
      </c>
    </row>
    <row r="78" spans="23:31" x14ac:dyDescent="0.25">
      <c r="W78">
        <v>72.7</v>
      </c>
      <c r="X78">
        <v>70.275401133974739</v>
      </c>
      <c r="Y78">
        <v>2.4245988660252635</v>
      </c>
      <c r="Z78">
        <v>2.429271012743726</v>
      </c>
      <c r="AA78">
        <v>1.9232710940658478E-3</v>
      </c>
      <c r="AB78">
        <v>0.65851967150999868</v>
      </c>
      <c r="AC78">
        <v>7.5966373641960698E-5</v>
      </c>
      <c r="AD78">
        <v>-1.6935133675401242</v>
      </c>
      <c r="AE78">
        <v>-1.805519347518334</v>
      </c>
    </row>
    <row r="79" spans="23:31" x14ac:dyDescent="0.25">
      <c r="W79">
        <v>72.599999999999994</v>
      </c>
      <c r="X79">
        <v>70.164822115902609</v>
      </c>
      <c r="Y79">
        <v>2.435177884097385</v>
      </c>
      <c r="Z79">
        <v>2.4396717450921699</v>
      </c>
      <c r="AA79">
        <v>1.8419941140931703E-3</v>
      </c>
      <c r="AB79">
        <v>0.66136599863646073</v>
      </c>
      <c r="AC79">
        <v>7.3380384990309562E-5</v>
      </c>
      <c r="AD79">
        <v>-1.6935133675401242</v>
      </c>
      <c r="AE79">
        <v>-1.7997496439828529</v>
      </c>
    </row>
    <row r="80" spans="23:31" x14ac:dyDescent="0.25">
      <c r="W80">
        <v>72.599999999999994</v>
      </c>
      <c r="X80">
        <v>70.324547858841584</v>
      </c>
      <c r="Y80">
        <v>2.2754521411584108</v>
      </c>
      <c r="Z80">
        <v>2.2790424946331598</v>
      </c>
      <c r="AA80">
        <v>1.5753780296778363E-3</v>
      </c>
      <c r="AB80">
        <v>0.6179038259953058</v>
      </c>
      <c r="AC80">
        <v>5.4766953774484227E-5</v>
      </c>
      <c r="AD80">
        <v>-1.6746834237964712</v>
      </c>
      <c r="AE80">
        <v>-1.7767531776134655</v>
      </c>
    </row>
    <row r="81" spans="23:31" x14ac:dyDescent="0.25">
      <c r="W81">
        <v>72</v>
      </c>
      <c r="X81">
        <v>70.321481260876254</v>
      </c>
      <c r="Y81">
        <v>1.6785187391237457</v>
      </c>
      <c r="Z81">
        <v>1.6809892245282896</v>
      </c>
      <c r="AA81">
        <v>1.4696616542806528E-3</v>
      </c>
      <c r="AB81">
        <v>0.45578117308783733</v>
      </c>
      <c r="AC81">
        <v>2.7795607914723498E-5</v>
      </c>
      <c r="AD81">
        <v>-1.6746834237964712</v>
      </c>
      <c r="AE81">
        <v>-1.7420983577438354</v>
      </c>
    </row>
    <row r="82" spans="23:31" x14ac:dyDescent="0.25">
      <c r="W82">
        <v>82.7</v>
      </c>
      <c r="X82">
        <v>89.569706372149994</v>
      </c>
      <c r="Y82">
        <v>-6.8697063721499916</v>
      </c>
      <c r="Z82">
        <v>-7.0423592072467187</v>
      </c>
      <c r="AA82">
        <v>2.451633465658366E-2</v>
      </c>
      <c r="AB82">
        <v>-1.8872915436074325</v>
      </c>
      <c r="AC82">
        <v>8.1380591536646084E-3</v>
      </c>
      <c r="AD82">
        <v>-1.6746834237964712</v>
      </c>
      <c r="AE82">
        <v>-1.7340616552380574</v>
      </c>
    </row>
    <row r="83" spans="23:31" x14ac:dyDescent="0.25">
      <c r="W83">
        <v>82.5</v>
      </c>
      <c r="X83">
        <v>88.8271352380293</v>
      </c>
      <c r="Y83">
        <v>-6.3271352380292996</v>
      </c>
      <c r="Z83">
        <v>-6.5150324824451644</v>
      </c>
      <c r="AA83">
        <v>2.8840569087285828E-2</v>
      </c>
      <c r="AB83">
        <v>-1.7420983577438354</v>
      </c>
      <c r="AC83">
        <v>8.1934338411468396E-3</v>
      </c>
      <c r="AD83">
        <v>-1.6746834237964712</v>
      </c>
      <c r="AE83">
        <v>-1.7335575065860398</v>
      </c>
    </row>
    <row r="84" spans="23:31" x14ac:dyDescent="0.25">
      <c r="W84">
        <v>82.3</v>
      </c>
      <c r="X84">
        <v>88.590162333252493</v>
      </c>
      <c r="Y84">
        <v>-6.2901623332524963</v>
      </c>
      <c r="Z84">
        <v>-6.4736242479438175</v>
      </c>
      <c r="AA84">
        <v>2.8339907857578978E-2</v>
      </c>
      <c r="AB84">
        <v>-1.7314720712747562</v>
      </c>
      <c r="AC84">
        <v>7.9491806077659488E-3</v>
      </c>
      <c r="AD84">
        <v>-1.6504653896281696</v>
      </c>
      <c r="AE84">
        <v>-1.7314720712747562</v>
      </c>
    </row>
    <row r="85" spans="23:31" x14ac:dyDescent="0.25">
      <c r="W85">
        <v>82</v>
      </c>
      <c r="X85">
        <v>87.854198067799629</v>
      </c>
      <c r="Y85">
        <v>-5.8541980677996293</v>
      </c>
      <c r="Z85">
        <v>-6.0010415031551929</v>
      </c>
      <c r="AA85">
        <v>2.4469658354862693E-2</v>
      </c>
      <c r="AB85">
        <v>-1.6082658537411567</v>
      </c>
      <c r="AC85">
        <v>5.8980726999417138E-3</v>
      </c>
      <c r="AD85">
        <v>-1.6504653896281696</v>
      </c>
      <c r="AE85">
        <v>-1.7235046274018451</v>
      </c>
    </row>
    <row r="86" spans="23:31" x14ac:dyDescent="0.25">
      <c r="W86">
        <v>81.900000000000006</v>
      </c>
      <c r="X86">
        <v>86.556586519069583</v>
      </c>
      <c r="Y86">
        <v>-4.6565865190695774</v>
      </c>
      <c r="Z86">
        <v>-4.732287235670853</v>
      </c>
      <c r="AA86">
        <v>1.5996644504302812E-2</v>
      </c>
      <c r="AB86">
        <v>-1.2737382972535545</v>
      </c>
      <c r="AC86">
        <v>2.3977287056298189E-3</v>
      </c>
      <c r="AD86">
        <v>-1.6387108222805178</v>
      </c>
      <c r="AE86">
        <v>-1.7211836644448903</v>
      </c>
    </row>
    <row r="87" spans="23:31" x14ac:dyDescent="0.25">
      <c r="W87">
        <v>81.7</v>
      </c>
      <c r="X87">
        <v>85.34603380595334</v>
      </c>
      <c r="Y87">
        <v>-3.646033805953337</v>
      </c>
      <c r="Z87">
        <v>-3.6859510040160899</v>
      </c>
      <c r="AA87">
        <v>1.0829551998728322E-2</v>
      </c>
      <c r="AB87">
        <v>-0.99470876451070922</v>
      </c>
      <c r="AC87">
        <v>9.8477850786098304E-4</v>
      </c>
      <c r="AD87">
        <v>-1.6387108222805178</v>
      </c>
      <c r="AE87">
        <v>-1.7116054407621935</v>
      </c>
    </row>
    <row r="88" spans="23:31" x14ac:dyDescent="0.25">
      <c r="W88">
        <v>81.3</v>
      </c>
      <c r="X88">
        <v>85.849161391897852</v>
      </c>
      <c r="Y88">
        <v>-4.5491613918978544</v>
      </c>
      <c r="Z88">
        <v>-4.6153281466390865</v>
      </c>
      <c r="AA88">
        <v>1.4336305597125986E-2</v>
      </c>
      <c r="AB88">
        <v>-1.2433052989868596</v>
      </c>
      <c r="AC88">
        <v>2.0439552060688526E-3</v>
      </c>
      <c r="AD88">
        <v>-1.6271784104016083</v>
      </c>
      <c r="AE88">
        <v>-1.6959504023171734</v>
      </c>
    </row>
    <row r="89" spans="23:31" x14ac:dyDescent="0.25">
      <c r="W89">
        <v>81.3</v>
      </c>
      <c r="X89">
        <v>82.203891237901075</v>
      </c>
      <c r="Y89">
        <v>-0.90389123790107817</v>
      </c>
      <c r="Z89">
        <v>-0.90895948311292329</v>
      </c>
      <c r="AA89">
        <v>5.5758758294564351E-3</v>
      </c>
      <c r="AB89">
        <v>-0.24594679682656359</v>
      </c>
      <c r="AC89">
        <v>3.0834087366857526E-5</v>
      </c>
      <c r="AD89">
        <v>-1.6271784104016083</v>
      </c>
      <c r="AE89">
        <v>-1.6869077470765763</v>
      </c>
    </row>
    <row r="90" spans="23:31" x14ac:dyDescent="0.25">
      <c r="W90">
        <v>81.2</v>
      </c>
      <c r="X90">
        <v>85.797372161663475</v>
      </c>
      <c r="Y90">
        <v>-4.597372161663472</v>
      </c>
      <c r="Z90">
        <v>-4.6465860457042254</v>
      </c>
      <c r="AA90">
        <v>1.0591407015104665E-2</v>
      </c>
      <c r="AB90">
        <v>-1.2541013715496476</v>
      </c>
      <c r="AC90">
        <v>1.5305607794765701E-3</v>
      </c>
      <c r="AD90">
        <v>-1.6158584342289828</v>
      </c>
      <c r="AE90">
        <v>-1.6834882517960434</v>
      </c>
    </row>
    <row r="91" spans="23:31" x14ac:dyDescent="0.25">
      <c r="W91">
        <v>81</v>
      </c>
      <c r="X91">
        <v>83.144090038633323</v>
      </c>
      <c r="Y91">
        <v>-2.1440900386333226</v>
      </c>
      <c r="Z91">
        <v>-2.1621718928944773</v>
      </c>
      <c r="AA91">
        <v>8.3628199592166441E-3</v>
      </c>
      <c r="AB91">
        <v>-0.5842213693191457</v>
      </c>
      <c r="AC91">
        <v>2.6167494217851705E-4</v>
      </c>
      <c r="AD91">
        <v>-1.6158584342289828</v>
      </c>
      <c r="AE91">
        <v>-1.680414157215661</v>
      </c>
    </row>
    <row r="92" spans="23:31" x14ac:dyDescent="0.25">
      <c r="W92">
        <v>86</v>
      </c>
      <c r="X92">
        <v>81.449324050619907</v>
      </c>
      <c r="Y92">
        <v>4.5506759493800928</v>
      </c>
      <c r="Z92">
        <v>4.6354661114954467</v>
      </c>
      <c r="AA92">
        <v>1.8291615142019362E-2</v>
      </c>
      <c r="AB92">
        <v>1.2462221919520702</v>
      </c>
      <c r="AC92">
        <v>2.6306788363884555E-3</v>
      </c>
      <c r="AD92">
        <v>-1.6158584342289828</v>
      </c>
      <c r="AE92">
        <v>-1.6599060720289711</v>
      </c>
    </row>
    <row r="93" spans="23:31" x14ac:dyDescent="0.25">
      <c r="W93">
        <v>83</v>
      </c>
      <c r="X93">
        <v>82.739018908737165</v>
      </c>
      <c r="Y93">
        <v>0.26098109126283475</v>
      </c>
      <c r="Z93">
        <v>0.26554440170752969</v>
      </c>
      <c r="AA93">
        <v>1.7184736019096113E-2</v>
      </c>
      <c r="AB93">
        <v>7.1430537211850095E-2</v>
      </c>
      <c r="AC93">
        <v>8.1104718243322376E-6</v>
      </c>
      <c r="AD93">
        <v>-1.6158584342289828</v>
      </c>
      <c r="AE93">
        <v>-1.6573133309164454</v>
      </c>
    </row>
    <row r="94" spans="23:31" x14ac:dyDescent="0.25">
      <c r="W94">
        <v>79.900000000000006</v>
      </c>
      <c r="X94">
        <v>82.490657126968998</v>
      </c>
      <c r="Y94">
        <v>-2.590657126968992</v>
      </c>
      <c r="Z94">
        <v>-2.6132662761399672</v>
      </c>
      <c r="AA94">
        <v>8.6516821410055587E-3</v>
      </c>
      <c r="AB94">
        <v>-0.70600474677848235</v>
      </c>
      <c r="AC94">
        <v>3.9545478797274087E-4</v>
      </c>
      <c r="AD94">
        <v>-1.5938200328066188</v>
      </c>
      <c r="AE94">
        <v>-1.6082658537411567</v>
      </c>
    </row>
    <row r="95" spans="23:31" x14ac:dyDescent="0.25">
      <c r="W95">
        <v>79.900000000000006</v>
      </c>
      <c r="X95">
        <v>84.160807453688989</v>
      </c>
      <c r="Y95">
        <v>-4.2608074536889831</v>
      </c>
      <c r="Z95">
        <v>-4.2960181774909216</v>
      </c>
      <c r="AA95">
        <v>8.1961300784115995E-3</v>
      </c>
      <c r="AB95">
        <v>-1.1608866839049228</v>
      </c>
      <c r="AC95">
        <v>1.0124416847580202E-3</v>
      </c>
      <c r="AD95">
        <v>-1.5884297017318656</v>
      </c>
      <c r="AE95">
        <v>-1.6006449507929421</v>
      </c>
    </row>
    <row r="96" spans="23:31" x14ac:dyDescent="0.25">
      <c r="W96">
        <v>81.400000000000006</v>
      </c>
      <c r="X96">
        <v>82.44703224210275</v>
      </c>
      <c r="Y96">
        <v>-1.0470322421027447</v>
      </c>
      <c r="Z96">
        <v>-1.0619461154335141</v>
      </c>
      <c r="AA96">
        <v>1.4043907797219264E-2</v>
      </c>
      <c r="AB96">
        <v>-0.28611596260728911</v>
      </c>
      <c r="AC96">
        <v>1.0600391023462175E-4</v>
      </c>
      <c r="AD96">
        <v>-1.5884297017318656</v>
      </c>
      <c r="AE96">
        <v>-1.5856687660796578</v>
      </c>
    </row>
    <row r="97" spans="23:31" x14ac:dyDescent="0.25">
      <c r="W97">
        <v>81.099999999999994</v>
      </c>
      <c r="X97">
        <v>78.359325750280362</v>
      </c>
      <c r="Y97">
        <v>2.7406742497196319</v>
      </c>
      <c r="Z97">
        <v>2.7585944874302868</v>
      </c>
      <c r="AA97">
        <v>6.4961478725151355E-3</v>
      </c>
      <c r="AB97">
        <v>0.74607667344479389</v>
      </c>
      <c r="AC97">
        <v>3.3087243316248338E-4</v>
      </c>
      <c r="AD97">
        <v>-1.5777854040319945</v>
      </c>
      <c r="AE97">
        <v>-1.5852809036500857</v>
      </c>
    </row>
    <row r="98" spans="23:31" x14ac:dyDescent="0.25">
      <c r="W98">
        <v>88</v>
      </c>
      <c r="X98">
        <v>82.867389526490001</v>
      </c>
      <c r="Y98">
        <v>5.1326104735099989</v>
      </c>
      <c r="Z98">
        <v>5.2000421020788679</v>
      </c>
      <c r="AA98">
        <v>1.2967515886441034E-2</v>
      </c>
      <c r="AB98">
        <v>1.4017914375772516</v>
      </c>
      <c r="AC98">
        <v>2.3469263630872556E-3</v>
      </c>
      <c r="AD98">
        <v>-1.5725296242490356</v>
      </c>
      <c r="AE98">
        <v>-1.5718601449694718</v>
      </c>
    </row>
    <row r="99" spans="23:31" x14ac:dyDescent="0.25">
      <c r="W99">
        <v>88</v>
      </c>
      <c r="X99">
        <v>81.09944153132993</v>
      </c>
      <c r="Y99">
        <v>6.9005584686700701</v>
      </c>
      <c r="Z99">
        <v>7.0147498256365139</v>
      </c>
      <c r="AA99">
        <v>1.6278749749436976E-2</v>
      </c>
      <c r="AB99">
        <v>1.8878132654780611</v>
      </c>
      <c r="AC99">
        <v>5.3613526649423761E-3</v>
      </c>
      <c r="AD99">
        <v>-1.5725296242490356</v>
      </c>
      <c r="AE99">
        <v>-1.5703157957378191</v>
      </c>
    </row>
    <row r="100" spans="23:31" x14ac:dyDescent="0.25">
      <c r="W100">
        <v>84</v>
      </c>
      <c r="X100">
        <v>80.876207515591432</v>
      </c>
      <c r="Y100">
        <v>3.1237924844085683</v>
      </c>
      <c r="Z100">
        <v>3.1609695988506417</v>
      </c>
      <c r="AA100">
        <v>1.1761300853887012E-2</v>
      </c>
      <c r="AB100">
        <v>0.85263286245951464</v>
      </c>
      <c r="AC100">
        <v>7.8654749486797783E-4</v>
      </c>
      <c r="AD100">
        <v>-1.5621464731395975</v>
      </c>
      <c r="AE100">
        <v>-1.5585894364642923</v>
      </c>
    </row>
    <row r="101" spans="23:31" x14ac:dyDescent="0.25">
      <c r="W101">
        <v>82</v>
      </c>
      <c r="X101">
        <v>81.007370484119846</v>
      </c>
      <c r="Y101">
        <v>0.99262951588015369</v>
      </c>
      <c r="Z101">
        <v>1.0062270038573189</v>
      </c>
      <c r="AA101">
        <v>1.3513340354652603E-2</v>
      </c>
      <c r="AB101">
        <v>0.27117671568307894</v>
      </c>
      <c r="AC101">
        <v>9.1576408391174535E-5</v>
      </c>
      <c r="AD101">
        <v>-1.5621464731395975</v>
      </c>
      <c r="AE101">
        <v>-1.5551776616328361</v>
      </c>
    </row>
    <row r="102" spans="23:31" x14ac:dyDescent="0.25">
      <c r="W102">
        <v>84</v>
      </c>
      <c r="X102">
        <v>80.143968781569527</v>
      </c>
      <c r="Y102">
        <v>3.8560312184304735</v>
      </c>
      <c r="Z102">
        <v>3.9235833289774007</v>
      </c>
      <c r="AA102">
        <v>1.7216943004122645E-2</v>
      </c>
      <c r="AB102">
        <v>1.0554132228208433</v>
      </c>
      <c r="AC102">
        <v>1.7739883270284187E-3</v>
      </c>
      <c r="AD102">
        <v>-1.5621464731395975</v>
      </c>
      <c r="AE102">
        <v>-1.547756164365848</v>
      </c>
    </row>
    <row r="103" spans="23:31" x14ac:dyDescent="0.25">
      <c r="W103">
        <v>81</v>
      </c>
      <c r="X103">
        <v>80.98907286542719</v>
      </c>
      <c r="Y103">
        <v>1.092713457281036E-2</v>
      </c>
      <c r="Z103">
        <v>1.1097743740023702E-2</v>
      </c>
      <c r="AA103">
        <v>1.5373320128567701E-2</v>
      </c>
      <c r="AB103">
        <v>2.9880049455878665E-3</v>
      </c>
      <c r="AC103">
        <v>1.2672608265754965E-8</v>
      </c>
      <c r="AD103">
        <v>-1.5468805340999257</v>
      </c>
      <c r="AE103">
        <v>-1.5469689551578569</v>
      </c>
    </row>
    <row r="104" spans="23:31" x14ac:dyDescent="0.25">
      <c r="W104">
        <v>79.8</v>
      </c>
      <c r="X104">
        <v>75.990050685817138</v>
      </c>
      <c r="Y104">
        <v>3.8099493141828589</v>
      </c>
      <c r="Z104">
        <v>3.8405432507958892</v>
      </c>
      <c r="AA104">
        <v>7.9660440242898152E-3</v>
      </c>
      <c r="AB104">
        <v>1.0379268557880517</v>
      </c>
      <c r="AC104">
        <v>7.8642439658129664E-4</v>
      </c>
      <c r="AD104">
        <v>-1.5418711328403236</v>
      </c>
      <c r="AE104">
        <v>-1.5371435395565634</v>
      </c>
    </row>
    <row r="105" spans="23:31" x14ac:dyDescent="0.25">
      <c r="W105">
        <v>79.400000000000006</v>
      </c>
      <c r="X105">
        <v>78.526272682218476</v>
      </c>
      <c r="Y105">
        <v>0.87372731778152968</v>
      </c>
      <c r="Z105">
        <v>0.88356527127015738</v>
      </c>
      <c r="AA105">
        <v>1.1134382267528642E-2</v>
      </c>
      <c r="AB105">
        <v>0.23840650221186752</v>
      </c>
      <c r="AC105">
        <v>5.8179817872225348E-5</v>
      </c>
      <c r="AD105">
        <v>-1.5418711328403236</v>
      </c>
      <c r="AE105">
        <v>-1.5300102133501603</v>
      </c>
    </row>
    <row r="106" spans="23:31" x14ac:dyDescent="0.25">
      <c r="W106">
        <v>79.3</v>
      </c>
      <c r="X106">
        <v>77.88812045522954</v>
      </c>
      <c r="Y106">
        <v>1.4118795447704571</v>
      </c>
      <c r="Z106">
        <v>1.4257530229985633</v>
      </c>
      <c r="AA106">
        <v>9.7306321672233839E-3</v>
      </c>
      <c r="AB106">
        <v>0.38497434938889408</v>
      </c>
      <c r="AC106">
        <v>1.3239104583834236E-4</v>
      </c>
      <c r="AD106">
        <v>-1.5319668124298669</v>
      </c>
      <c r="AE106">
        <v>-1.5037757014144666</v>
      </c>
    </row>
    <row r="107" spans="23:31" x14ac:dyDescent="0.25">
      <c r="W107">
        <v>78.8</v>
      </c>
      <c r="X107">
        <v>75.599132104288529</v>
      </c>
      <c r="Y107">
        <v>3.2008678957114682</v>
      </c>
      <c r="Z107">
        <v>3.223975409763213</v>
      </c>
      <c r="AA107">
        <v>7.1673977356543159E-3</v>
      </c>
      <c r="AB107">
        <v>0.87164683116963304</v>
      </c>
      <c r="AC107">
        <v>4.9862483011760045E-4</v>
      </c>
      <c r="AD107">
        <v>-1.5319668124298669</v>
      </c>
      <c r="AE107">
        <v>-1.5025166384100266</v>
      </c>
    </row>
    <row r="108" spans="23:31" x14ac:dyDescent="0.25">
      <c r="W108">
        <v>78.7</v>
      </c>
      <c r="X108">
        <v>79.92759394486211</v>
      </c>
      <c r="Y108">
        <v>-1.2275939448621074</v>
      </c>
      <c r="Z108">
        <v>-1.2387549521320835</v>
      </c>
      <c r="AA108">
        <v>9.0098588512385891E-3</v>
      </c>
      <c r="AB108">
        <v>-0.33460381683039847</v>
      </c>
      <c r="AC108">
        <v>9.2537497271097643E-5</v>
      </c>
      <c r="AD108">
        <v>-1.5319668124298669</v>
      </c>
      <c r="AE108">
        <v>-1.4792383313559041</v>
      </c>
    </row>
    <row r="109" spans="23:31" x14ac:dyDescent="0.25">
      <c r="W109">
        <v>78.599999999999994</v>
      </c>
      <c r="X109">
        <v>75.882730829153971</v>
      </c>
      <c r="Y109">
        <v>2.7172691708460235</v>
      </c>
      <c r="Z109">
        <v>2.7527309456113755</v>
      </c>
      <c r="AA109">
        <v>1.288239768652048E-2</v>
      </c>
      <c r="AB109">
        <v>0.7420941932524534</v>
      </c>
      <c r="AC109">
        <v>6.5336096962778493E-4</v>
      </c>
      <c r="AD109">
        <v>-1.5319668124298669</v>
      </c>
      <c r="AE109">
        <v>-1.4516333619965538</v>
      </c>
    </row>
    <row r="110" spans="23:31" x14ac:dyDescent="0.25">
      <c r="W110">
        <v>78.099999999999994</v>
      </c>
      <c r="X110">
        <v>75.539694362935677</v>
      </c>
      <c r="Y110">
        <v>2.5603056370643174</v>
      </c>
      <c r="Z110">
        <v>2.5938271639879673</v>
      </c>
      <c r="AA110">
        <v>1.2923577711367012E-2</v>
      </c>
      <c r="AB110">
        <v>0.69924157649323915</v>
      </c>
      <c r="AC110">
        <v>5.8196086640129442E-4</v>
      </c>
      <c r="AD110">
        <v>-1.5125970273974985</v>
      </c>
      <c r="AE110">
        <v>-1.4456997575053683</v>
      </c>
    </row>
    <row r="111" spans="23:31" x14ac:dyDescent="0.25">
      <c r="W111">
        <v>72.5</v>
      </c>
      <c r="X111">
        <v>73.434905281020377</v>
      </c>
      <c r="Y111">
        <v>-0.93490528102037729</v>
      </c>
      <c r="Z111">
        <v>-0.93798094870852822</v>
      </c>
      <c r="AA111">
        <v>3.279030019086371E-3</v>
      </c>
      <c r="AB111">
        <v>-0.25409237657410894</v>
      </c>
      <c r="AC111">
        <v>1.9309115598508838E-5</v>
      </c>
      <c r="AD111">
        <v>-1.5078422496152202</v>
      </c>
      <c r="AE111">
        <v>-1.4290587045655809</v>
      </c>
    </row>
    <row r="112" spans="23:31" x14ac:dyDescent="0.25">
      <c r="W112">
        <v>72.2</v>
      </c>
      <c r="X112">
        <v>71.018901782306074</v>
      </c>
      <c r="Y112">
        <v>1.1810982176939291</v>
      </c>
      <c r="Z112">
        <v>1.1869335006126107</v>
      </c>
      <c r="AA112">
        <v>4.9162677737790055E-3</v>
      </c>
      <c r="AB112">
        <v>0.32126766808782886</v>
      </c>
      <c r="AC112">
        <v>4.6357206776503984E-5</v>
      </c>
      <c r="AD112">
        <v>-1.5078422496152202</v>
      </c>
      <c r="AE112">
        <v>-1.4229075720437454</v>
      </c>
    </row>
    <row r="113" spans="23:31" x14ac:dyDescent="0.25">
      <c r="W113">
        <v>71.900000000000006</v>
      </c>
      <c r="X113">
        <v>72.630883646364509</v>
      </c>
      <c r="Y113">
        <v>-0.73088364636450365</v>
      </c>
      <c r="Z113">
        <v>-0.73314823929699457</v>
      </c>
      <c r="AA113">
        <v>3.0888609030357219E-3</v>
      </c>
      <c r="AB113">
        <v>-0.19862359596832829</v>
      </c>
      <c r="AC113">
        <v>1.1112477596806377E-5</v>
      </c>
      <c r="AD113">
        <v>-1.4984336523422108</v>
      </c>
      <c r="AE113">
        <v>-1.4216639340136656</v>
      </c>
    </row>
    <row r="114" spans="23:31" x14ac:dyDescent="0.25">
      <c r="W114">
        <v>71.599999999999994</v>
      </c>
      <c r="X114">
        <v>72.201198339792512</v>
      </c>
      <c r="Y114">
        <v>-0.6011983397925178</v>
      </c>
      <c r="Z114">
        <v>-0.60253116329820955</v>
      </c>
      <c r="AA114">
        <v>2.212040782091724E-3</v>
      </c>
      <c r="AB114">
        <v>-0.16330875323592875</v>
      </c>
      <c r="AC114">
        <v>5.3750327168828708E-6</v>
      </c>
      <c r="AD114">
        <v>-1.4984336523422108</v>
      </c>
      <c r="AE114">
        <v>-1.4190354511321415</v>
      </c>
    </row>
    <row r="115" spans="23:31" x14ac:dyDescent="0.25">
      <c r="W115">
        <v>71.099999999999994</v>
      </c>
      <c r="X115">
        <v>74.036896855125548</v>
      </c>
      <c r="Y115">
        <v>-2.9368968551255534</v>
      </c>
      <c r="Z115">
        <v>-2.9459309654553607</v>
      </c>
      <c r="AA115">
        <v>3.0666402016011384E-3</v>
      </c>
      <c r="AB115">
        <v>-0.79811679492809384</v>
      </c>
      <c r="AC115">
        <v>1.7812993541518643E-4</v>
      </c>
      <c r="AD115">
        <v>-1.4984336523422108</v>
      </c>
      <c r="AE115">
        <v>-1.41672263996075</v>
      </c>
    </row>
    <row r="116" spans="23:31" x14ac:dyDescent="0.25">
      <c r="W116">
        <v>78</v>
      </c>
      <c r="X116">
        <v>71.590566343581258</v>
      </c>
      <c r="Y116">
        <v>6.4094336564187415</v>
      </c>
      <c r="Z116">
        <v>6.4224660303281951</v>
      </c>
      <c r="AA116">
        <v>2.0291853390757373E-3</v>
      </c>
      <c r="AB116">
        <v>1.7408909043978888</v>
      </c>
      <c r="AC116">
        <v>5.6021444461669596E-4</v>
      </c>
      <c r="AD116">
        <v>-1.4984336523422108</v>
      </c>
      <c r="AE116">
        <v>-1.4087333254148549</v>
      </c>
    </row>
    <row r="117" spans="23:31" x14ac:dyDescent="0.25">
      <c r="W117">
        <v>73</v>
      </c>
      <c r="X117">
        <v>71.371815474638041</v>
      </c>
      <c r="Y117">
        <v>1.6281845253619593</v>
      </c>
      <c r="Z117">
        <v>1.6320796990322037</v>
      </c>
      <c r="AA117">
        <v>2.3866320208194634E-3</v>
      </c>
      <c r="AB117">
        <v>0.44231667556404908</v>
      </c>
      <c r="AC117">
        <v>4.2549762815828118E-5</v>
      </c>
      <c r="AD117">
        <v>-1.4984336523422108</v>
      </c>
      <c r="AE117">
        <v>-1.4085481464296101</v>
      </c>
    </row>
    <row r="118" spans="23:31" x14ac:dyDescent="0.25">
      <c r="W118">
        <v>73</v>
      </c>
      <c r="X118">
        <v>73.53766954170095</v>
      </c>
      <c r="Y118">
        <v>-0.53766954170095005</v>
      </c>
      <c r="Z118">
        <v>-0.53935633626672086</v>
      </c>
      <c r="AA118">
        <v>3.127421432442737E-3</v>
      </c>
      <c r="AB118">
        <v>-0.14611891208673272</v>
      </c>
      <c r="AC118">
        <v>6.08929386385377E-6</v>
      </c>
      <c r="AD118">
        <v>-1.4754749432056431</v>
      </c>
      <c r="AE118">
        <v>-1.4040078710532859</v>
      </c>
    </row>
    <row r="119" spans="23:31" x14ac:dyDescent="0.25">
      <c r="W119">
        <v>69.2</v>
      </c>
      <c r="X119">
        <v>69.913826866327156</v>
      </c>
      <c r="Y119">
        <v>-0.7138268663271532</v>
      </c>
      <c r="Z119">
        <v>-0.71554773458511534</v>
      </c>
      <c r="AA119">
        <v>2.4049663981736118E-3</v>
      </c>
      <c r="AB119">
        <v>-0.19392177171187727</v>
      </c>
      <c r="AC119">
        <v>8.2416694065671068E-6</v>
      </c>
      <c r="AD119">
        <v>-1.4754749432056431</v>
      </c>
      <c r="AE119">
        <v>-1.3994537266436706</v>
      </c>
    </row>
    <row r="120" spans="23:31" x14ac:dyDescent="0.25">
      <c r="W120">
        <v>68.400000000000006</v>
      </c>
      <c r="X120">
        <v>70.186704748277918</v>
      </c>
      <c r="Y120">
        <v>-1.7867047482779128</v>
      </c>
      <c r="Z120">
        <v>-1.7916782672805596</v>
      </c>
      <c r="AA120">
        <v>2.7758996095892073E-3</v>
      </c>
      <c r="AB120">
        <v>-0.48547540053709154</v>
      </c>
      <c r="AC120">
        <v>5.9642077444495616E-5</v>
      </c>
      <c r="AD120">
        <v>-1.4754749432056431</v>
      </c>
      <c r="AE120">
        <v>-1.3938616296418964</v>
      </c>
    </row>
    <row r="121" spans="23:31" x14ac:dyDescent="0.25">
      <c r="W121">
        <v>68.400000000000006</v>
      </c>
      <c r="X121">
        <v>70.077517503797552</v>
      </c>
      <c r="Y121">
        <v>-1.6775175037975458</v>
      </c>
      <c r="Z121">
        <v>-1.6822282900139669</v>
      </c>
      <c r="AA121">
        <v>2.8003251665593121E-3</v>
      </c>
      <c r="AB121">
        <v>-0.45581311446417466</v>
      </c>
      <c r="AC121">
        <v>5.304046010918592E-5</v>
      </c>
      <c r="AD121">
        <v>-1.462064744247453</v>
      </c>
      <c r="AE121">
        <v>-1.3878248679558562</v>
      </c>
    </row>
    <row r="122" spans="23:31" x14ac:dyDescent="0.25">
      <c r="W122">
        <v>67.8</v>
      </c>
      <c r="X122">
        <v>69.7020213649499</v>
      </c>
      <c r="Y122">
        <v>-1.9020213649499027</v>
      </c>
      <c r="Z122">
        <v>-1.9062594021825703</v>
      </c>
      <c r="AA122">
        <v>2.2232216810634609E-3</v>
      </c>
      <c r="AB122">
        <v>-0.51666556197871616</v>
      </c>
      <c r="AC122">
        <v>5.4072409380090252E-5</v>
      </c>
      <c r="AD122">
        <v>-1.4576525936309461</v>
      </c>
      <c r="AE122">
        <v>-1.3841170782215462</v>
      </c>
    </row>
    <row r="123" spans="23:31" x14ac:dyDescent="0.25">
      <c r="W123">
        <v>67.8</v>
      </c>
      <c r="X123">
        <v>69.387413251733747</v>
      </c>
      <c r="Y123">
        <v>-1.58741325173375</v>
      </c>
      <c r="Z123">
        <v>-1.5909820466422246</v>
      </c>
      <c r="AA123">
        <v>2.2431396482501171E-3</v>
      </c>
      <c r="AB123">
        <v>-0.43120963897313608</v>
      </c>
      <c r="AC123">
        <v>3.8002819981674499E-5</v>
      </c>
      <c r="AD123">
        <v>-1.4576525936309461</v>
      </c>
      <c r="AE123">
        <v>-1.3637256217754372</v>
      </c>
    </row>
    <row r="124" spans="23:31" x14ac:dyDescent="0.25">
      <c r="W124">
        <v>71.400000000000006</v>
      </c>
      <c r="X124">
        <v>67.435041427616511</v>
      </c>
      <c r="Y124">
        <v>3.9649585723834946</v>
      </c>
      <c r="Z124">
        <v>3.978421941915073</v>
      </c>
      <c r="AA124">
        <v>3.3840979484184384E-3</v>
      </c>
      <c r="AB124">
        <v>1.0776694405459351</v>
      </c>
      <c r="AC124">
        <v>3.5850363416005491E-4</v>
      </c>
      <c r="AD124">
        <v>-1.4576525936309461</v>
      </c>
      <c r="AE124">
        <v>-1.362198075732699</v>
      </c>
    </row>
    <row r="125" spans="23:31" x14ac:dyDescent="0.25">
      <c r="W125">
        <v>71</v>
      </c>
      <c r="X125">
        <v>67.286233324486801</v>
      </c>
      <c r="Y125">
        <v>3.7137666755131988</v>
      </c>
      <c r="Z125">
        <v>3.7261175902676484</v>
      </c>
      <c r="AA125">
        <v>3.314687326753306E-3</v>
      </c>
      <c r="AB125">
        <v>1.009360733549943</v>
      </c>
      <c r="AC125">
        <v>3.0802405620248419E-4</v>
      </c>
      <c r="AD125">
        <v>-1.4445835579455348</v>
      </c>
      <c r="AE125">
        <v>-1.3619367241600902</v>
      </c>
    </row>
    <row r="126" spans="23:31" x14ac:dyDescent="0.25">
      <c r="W126">
        <v>77</v>
      </c>
      <c r="X126">
        <v>67.05825572399155</v>
      </c>
      <c r="Y126">
        <v>9.9417442760084498</v>
      </c>
      <c r="Z126">
        <v>9.969764211214823</v>
      </c>
      <c r="AA126">
        <v>2.8104912626568247E-3</v>
      </c>
      <c r="AB126">
        <v>2.7013730172603569</v>
      </c>
      <c r="AC126">
        <v>1.8697389221144231E-3</v>
      </c>
      <c r="AD126">
        <v>-1.4402815816722083</v>
      </c>
      <c r="AE126">
        <v>-1.352419065796393</v>
      </c>
    </row>
    <row r="127" spans="23:31" x14ac:dyDescent="0.25">
      <c r="W127">
        <v>73</v>
      </c>
      <c r="X127">
        <v>68.655898775503289</v>
      </c>
      <c r="Y127">
        <v>4.3441012244967112</v>
      </c>
      <c r="Z127">
        <v>4.3664881980382404</v>
      </c>
      <c r="AA127">
        <v>5.1269973777988039E-3</v>
      </c>
      <c r="AB127">
        <v>1.1817535989382728</v>
      </c>
      <c r="AC127">
        <v>6.5426943405618733E-4</v>
      </c>
      <c r="AD127">
        <v>-1.4402815816722083</v>
      </c>
      <c r="AE127">
        <v>-1.3460646629199959</v>
      </c>
    </row>
    <row r="128" spans="23:31" x14ac:dyDescent="0.25">
      <c r="W128">
        <v>69.900000000000006</v>
      </c>
      <c r="X128">
        <v>65.715602120448139</v>
      </c>
      <c r="Y128">
        <v>4.1843978795518666</v>
      </c>
      <c r="Z128">
        <v>4.1981415490131582</v>
      </c>
      <c r="AA128">
        <v>3.2737508492347409E-3</v>
      </c>
      <c r="AB128">
        <v>1.1372497381724003</v>
      </c>
      <c r="AC128">
        <v>3.8617907169803488E-4</v>
      </c>
      <c r="AD128">
        <v>-1.4402815816722083</v>
      </c>
      <c r="AE128">
        <v>-1.3452923687296769</v>
      </c>
    </row>
    <row r="129" spans="23:31" x14ac:dyDescent="0.25">
      <c r="W129">
        <v>69.5</v>
      </c>
      <c r="X129">
        <v>65.059036746381906</v>
      </c>
      <c r="Y129">
        <v>4.4409632536180936</v>
      </c>
      <c r="Z129">
        <v>4.4592406921853751</v>
      </c>
      <c r="AA129">
        <v>4.0987782066367459E-3</v>
      </c>
      <c r="AB129">
        <v>1.2074797803987529</v>
      </c>
      <c r="AC129">
        <v>5.4551312261705764E-4</v>
      </c>
      <c r="AD129">
        <v>-1.4402815816722083</v>
      </c>
      <c r="AE129">
        <v>-1.3417217671437573</v>
      </c>
    </row>
    <row r="130" spans="23:31" x14ac:dyDescent="0.25">
      <c r="W130">
        <v>69.099999999999994</v>
      </c>
      <c r="X130">
        <v>65.078702947012346</v>
      </c>
      <c r="Y130">
        <v>4.0212970529876486</v>
      </c>
      <c r="Z130">
        <v>4.0372649417665514</v>
      </c>
      <c r="AA130">
        <v>3.9551253160785647E-3</v>
      </c>
      <c r="AB130">
        <v>1.0932954056772162</v>
      </c>
      <c r="AC130">
        <v>4.3148301466556648E-4</v>
      </c>
      <c r="AD130">
        <v>-1.4402815816722083</v>
      </c>
      <c r="AE130">
        <v>-1.3399338116349675</v>
      </c>
    </row>
    <row r="131" spans="23:31" x14ac:dyDescent="0.25">
      <c r="W131">
        <v>68.599999999999994</v>
      </c>
      <c r="X131">
        <v>64.839797308384277</v>
      </c>
      <c r="Y131">
        <v>3.7602026916157172</v>
      </c>
      <c r="Z131">
        <v>3.7748856464468901</v>
      </c>
      <c r="AA131">
        <v>3.8896422849251564E-3</v>
      </c>
      <c r="AB131">
        <v>1.0222764308138221</v>
      </c>
      <c r="AC131">
        <v>3.7097634464617826E-4</v>
      </c>
      <c r="AD131">
        <v>-1.4191611772342045</v>
      </c>
      <c r="AE131">
        <v>-1.3392023255574033</v>
      </c>
    </row>
    <row r="132" spans="23:31" x14ac:dyDescent="0.25">
      <c r="W132">
        <v>68.2</v>
      </c>
      <c r="X132">
        <v>64.516301500704628</v>
      </c>
      <c r="Y132">
        <v>3.6836984992953745</v>
      </c>
      <c r="Z132">
        <v>3.6987491834532165</v>
      </c>
      <c r="AA132">
        <v>4.0691280785330325E-3</v>
      </c>
      <c r="AB132">
        <v>1.0015676755910621</v>
      </c>
      <c r="AC132">
        <v>3.7259762239098788E-4</v>
      </c>
      <c r="AD132">
        <v>-1.4191611772342045</v>
      </c>
      <c r="AE132">
        <v>-1.3354986722837776</v>
      </c>
    </row>
    <row r="133" spans="23:31" x14ac:dyDescent="0.25">
      <c r="W133">
        <v>67.8</v>
      </c>
      <c r="X133">
        <v>64.122567943114433</v>
      </c>
      <c r="Y133">
        <v>3.6774320568855643</v>
      </c>
      <c r="Z133">
        <v>3.6932043748900441</v>
      </c>
      <c r="AA133">
        <v>4.2706323299384541E-3</v>
      </c>
      <c r="AB133">
        <v>0.99996504619782789</v>
      </c>
      <c r="AC133">
        <v>3.898771844249611E-4</v>
      </c>
      <c r="AD133">
        <v>-1.4191611772342045</v>
      </c>
      <c r="AE133">
        <v>-1.3221739485206632</v>
      </c>
    </row>
    <row r="134" spans="23:31" x14ac:dyDescent="0.25">
      <c r="W134">
        <v>67.3</v>
      </c>
      <c r="X134">
        <v>63.952207751190997</v>
      </c>
      <c r="Y134">
        <v>3.3477922488090002</v>
      </c>
      <c r="Z134">
        <v>3.3641665067961242</v>
      </c>
      <c r="AA134">
        <v>4.8672555160531525E-3</v>
      </c>
      <c r="AB134">
        <v>0.91060244305324789</v>
      </c>
      <c r="AC134">
        <v>3.6869569469306169E-4</v>
      </c>
      <c r="AD134">
        <v>-1.4067868590764927</v>
      </c>
      <c r="AE134">
        <v>-1.3194739097425223</v>
      </c>
    </row>
    <row r="135" spans="23:31" x14ac:dyDescent="0.25">
      <c r="W135">
        <v>66.8</v>
      </c>
      <c r="X135">
        <v>63.339637703547389</v>
      </c>
      <c r="Y135">
        <v>3.4603622964526082</v>
      </c>
      <c r="Z135">
        <v>3.4756838111683734</v>
      </c>
      <c r="AA135">
        <v>4.40820153620744E-3</v>
      </c>
      <c r="AB135">
        <v>0.9410045779285886</v>
      </c>
      <c r="AC135">
        <v>3.5642726541418155E-4</v>
      </c>
      <c r="AD135">
        <v>-1.4067868590764927</v>
      </c>
      <c r="AE135">
        <v>-1.3183888622797868</v>
      </c>
    </row>
    <row r="136" spans="23:31" x14ac:dyDescent="0.25">
      <c r="W136">
        <v>72</v>
      </c>
      <c r="X136">
        <v>75.161536590048883</v>
      </c>
      <c r="Y136">
        <v>-3.1615365900488825</v>
      </c>
      <c r="Z136">
        <v>-3.1785634893867609</v>
      </c>
      <c r="AA136">
        <v>5.3567906995506597E-3</v>
      </c>
      <c r="AB136">
        <v>-0.86015233286148052</v>
      </c>
      <c r="AC136">
        <v>3.6223917324637405E-4</v>
      </c>
      <c r="AD136">
        <v>-1.4067868590764927</v>
      </c>
      <c r="AE136">
        <v>-1.3111082044274813</v>
      </c>
    </row>
    <row r="137" spans="23:31" x14ac:dyDescent="0.25">
      <c r="W137">
        <v>71.7</v>
      </c>
      <c r="X137">
        <v>78.334004145856355</v>
      </c>
      <c r="Y137">
        <v>-6.6340041458563519</v>
      </c>
      <c r="Z137">
        <v>-6.6743183013845027</v>
      </c>
      <c r="AA137">
        <v>6.0401907292600421E-3</v>
      </c>
      <c r="AB137">
        <v>-1.805519347518334</v>
      </c>
      <c r="AC137">
        <v>1.80091591639377E-3</v>
      </c>
      <c r="AD137">
        <v>-1.3946242806491973</v>
      </c>
      <c r="AE137">
        <v>-1.3061498945492938</v>
      </c>
    </row>
    <row r="138" spans="23:31" x14ac:dyDescent="0.25">
      <c r="W138">
        <v>71.900000000000006</v>
      </c>
      <c r="X138">
        <v>72.313120055468858</v>
      </c>
      <c r="Y138">
        <v>-0.41312005546885189</v>
      </c>
      <c r="Z138">
        <v>-0.41869549881727153</v>
      </c>
      <c r="AA138">
        <v>1.3316224712650588E-2</v>
      </c>
      <c r="AB138">
        <v>-0.11284910147492822</v>
      </c>
      <c r="AC138">
        <v>1.5624518920611449E-5</v>
      </c>
      <c r="AD138">
        <v>-1.3946242806491973</v>
      </c>
      <c r="AE138">
        <v>-1.3019536018864721</v>
      </c>
    </row>
    <row r="139" spans="23:31" x14ac:dyDescent="0.25">
      <c r="W139">
        <v>72</v>
      </c>
      <c r="X139">
        <v>73.729552152203468</v>
      </c>
      <c r="Y139">
        <v>-1.7295521522034676</v>
      </c>
      <c r="Z139">
        <v>-1.746779156874382</v>
      </c>
      <c r="AA139">
        <v>9.8621537835053841E-3</v>
      </c>
      <c r="AB139">
        <v>-0.47162481911409887</v>
      </c>
      <c r="AC139">
        <v>2.0140800492176258E-4</v>
      </c>
      <c r="AD139">
        <v>-1.3946242806491973</v>
      </c>
      <c r="AE139">
        <v>-1.2996662349167771</v>
      </c>
    </row>
    <row r="140" spans="23:31" x14ac:dyDescent="0.25">
      <c r="W140">
        <v>73</v>
      </c>
      <c r="X140">
        <v>73.744235514108297</v>
      </c>
      <c r="Y140">
        <v>-0.74423551410829702</v>
      </c>
      <c r="Z140">
        <v>-0.74942509440016636</v>
      </c>
      <c r="AA140">
        <v>6.9247484914048713E-3</v>
      </c>
      <c r="AB140">
        <v>-0.20264231153505616</v>
      </c>
      <c r="AC140">
        <v>2.6030914267271241E-5</v>
      </c>
      <c r="AD140">
        <v>-1.3946242806491973</v>
      </c>
      <c r="AE140">
        <v>-1.2974242734188999</v>
      </c>
    </row>
    <row r="141" spans="23:31" x14ac:dyDescent="0.25">
      <c r="W141">
        <v>70</v>
      </c>
      <c r="X141">
        <v>73.741550058920922</v>
      </c>
      <c r="Y141">
        <v>-3.7415500589209216</v>
      </c>
      <c r="Z141">
        <v>-3.7642727921193995</v>
      </c>
      <c r="AA141">
        <v>6.0364204331960604E-3</v>
      </c>
      <c r="AB141">
        <v>-1.0183032841410518</v>
      </c>
      <c r="AC141">
        <v>5.7249356937481215E-4</v>
      </c>
      <c r="AD141">
        <v>-1.3946242806491973</v>
      </c>
      <c r="AE141">
        <v>-1.290890495530038</v>
      </c>
    </row>
    <row r="142" spans="23:31" x14ac:dyDescent="0.25">
      <c r="W142">
        <v>70</v>
      </c>
      <c r="X142">
        <v>73.245030587974682</v>
      </c>
      <c r="Y142">
        <v>-3.2450305879746821</v>
      </c>
      <c r="Z142">
        <v>-3.2667994523041841</v>
      </c>
      <c r="AA142">
        <v>6.663667190880497E-3</v>
      </c>
      <c r="AB142">
        <v>-0.8834489410503964</v>
      </c>
      <c r="AC142">
        <v>4.7597835278748689E-4</v>
      </c>
      <c r="AD142">
        <v>-1.3946242806491973</v>
      </c>
      <c r="AE142">
        <v>-1.2865789660432128</v>
      </c>
    </row>
    <row r="143" spans="23:31" x14ac:dyDescent="0.25">
      <c r="W143">
        <v>69.8</v>
      </c>
      <c r="X143">
        <v>72.853271955865864</v>
      </c>
      <c r="Y143">
        <v>-3.053271955865867</v>
      </c>
      <c r="Z143">
        <v>-3.072450026850575</v>
      </c>
      <c r="AA143">
        <v>6.2419472463705414E-3</v>
      </c>
      <c r="AB143">
        <v>-0.83106688641643034</v>
      </c>
      <c r="AC143">
        <v>3.9438347061757849E-4</v>
      </c>
      <c r="AD143">
        <v>-1.3946242806491973</v>
      </c>
      <c r="AE143">
        <v>-1.2785135261153304</v>
      </c>
    </row>
    <row r="144" spans="23:31" x14ac:dyDescent="0.25">
      <c r="W144">
        <v>68.900000000000006</v>
      </c>
      <c r="X144">
        <v>72.26704732364496</v>
      </c>
      <c r="Y144">
        <v>-3.3670473236449538</v>
      </c>
      <c r="Z144">
        <v>-3.3847070776155732</v>
      </c>
      <c r="AA144">
        <v>5.2175132339849772E-3</v>
      </c>
      <c r="AB144">
        <v>-0.91600105740624804</v>
      </c>
      <c r="AC144">
        <v>4.0006880896539929E-4</v>
      </c>
      <c r="AD144">
        <v>-1.3946242806491973</v>
      </c>
      <c r="AE144">
        <v>-1.2765302224042672</v>
      </c>
    </row>
    <row r="145" spans="23:31" x14ac:dyDescent="0.25">
      <c r="W145">
        <v>68.099999999999994</v>
      </c>
      <c r="X145">
        <v>71.837556261875946</v>
      </c>
      <c r="Y145">
        <v>-3.7375562618759517</v>
      </c>
      <c r="Z145">
        <v>-3.7543040049689296</v>
      </c>
      <c r="AA145">
        <v>4.4609448437875222E-3</v>
      </c>
      <c r="AB145">
        <v>-1.0164111201003909</v>
      </c>
      <c r="AC145">
        <v>4.2083774216794388E-4</v>
      </c>
      <c r="AD145">
        <v>-1.3946242806491973</v>
      </c>
      <c r="AE145">
        <v>-1.2737382972535545</v>
      </c>
    </row>
    <row r="146" spans="23:31" x14ac:dyDescent="0.25">
      <c r="W146">
        <v>68.2</v>
      </c>
      <c r="X146">
        <v>71.407739894722397</v>
      </c>
      <c r="Y146">
        <v>-3.2077398947223941</v>
      </c>
      <c r="Z146">
        <v>-3.2242492550545734</v>
      </c>
      <c r="AA146">
        <v>5.1203734656350341E-3</v>
      </c>
      <c r="AB146">
        <v>-0.87261906426304103</v>
      </c>
      <c r="AC146">
        <v>3.5627701875528411E-4</v>
      </c>
      <c r="AD146">
        <v>-1.3593210527266006</v>
      </c>
      <c r="AE146">
        <v>-1.2580112972048387</v>
      </c>
    </row>
    <row r="147" spans="23:31" x14ac:dyDescent="0.25">
      <c r="W147">
        <v>67.7</v>
      </c>
      <c r="X147">
        <v>69.058265418418983</v>
      </c>
      <c r="Y147">
        <v>-1.3582654184189806</v>
      </c>
      <c r="Z147">
        <v>-1.3794801792489864</v>
      </c>
      <c r="AA147">
        <v>1.5378808009811208E-2</v>
      </c>
      <c r="AB147">
        <v>-0.3714162272670351</v>
      </c>
      <c r="AC147">
        <v>1.958766012228615E-4</v>
      </c>
      <c r="AD147">
        <v>-1.3593210527266006</v>
      </c>
      <c r="AE147">
        <v>-1.2551531849418831</v>
      </c>
    </row>
    <row r="148" spans="23:31" x14ac:dyDescent="0.25">
      <c r="W148">
        <v>67.2</v>
      </c>
      <c r="X148">
        <v>70.494943672002435</v>
      </c>
      <c r="Y148">
        <v>-3.2949436720024323</v>
      </c>
      <c r="Z148">
        <v>-3.3132143875148756</v>
      </c>
      <c r="AA148">
        <v>5.5144984222242344E-3</v>
      </c>
      <c r="AB148">
        <v>-0.89651918289179255</v>
      </c>
      <c r="AC148">
        <v>4.0516698427151069E-4</v>
      </c>
      <c r="AD148">
        <v>-1.3517022399306602</v>
      </c>
      <c r="AE148">
        <v>-1.2543673154727919</v>
      </c>
    </row>
    <row r="149" spans="23:31" x14ac:dyDescent="0.25">
      <c r="W149">
        <v>67.7</v>
      </c>
      <c r="X149">
        <v>70.375503889438946</v>
      </c>
      <c r="Y149">
        <v>-2.6755038894389429</v>
      </c>
      <c r="Z149">
        <v>-2.6873393161874048</v>
      </c>
      <c r="AA149">
        <v>4.4041430410992699E-3</v>
      </c>
      <c r="AB149">
        <v>-0.72757013889706423</v>
      </c>
      <c r="AC149">
        <v>2.1288025546723551E-4</v>
      </c>
      <c r="AD149">
        <v>-1.3517022399306602</v>
      </c>
      <c r="AE149">
        <v>-1.2541013715496476</v>
      </c>
    </row>
    <row r="150" spans="23:31" x14ac:dyDescent="0.25">
      <c r="W150">
        <v>68</v>
      </c>
      <c r="X150">
        <v>69.996585757596804</v>
      </c>
      <c r="Y150">
        <v>-1.9965857575968045</v>
      </c>
      <c r="Z150">
        <v>-2.0092853593437781</v>
      </c>
      <c r="AA150">
        <v>6.320457016177998E-3</v>
      </c>
      <c r="AB150">
        <v>-0.54347004836467316</v>
      </c>
      <c r="AC150">
        <v>1.7078930710030351E-4</v>
      </c>
      <c r="AD150">
        <v>-1.3441610904494867</v>
      </c>
      <c r="AE150">
        <v>-1.2540757302252723</v>
      </c>
    </row>
    <row r="151" spans="23:31" x14ac:dyDescent="0.25">
      <c r="W151">
        <v>89</v>
      </c>
      <c r="X151">
        <v>81.624051359167282</v>
      </c>
      <c r="Y151">
        <v>7.3759486408327177</v>
      </c>
      <c r="Z151">
        <v>7.48040385019452</v>
      </c>
      <c r="AA151">
        <v>1.3963846264675027E-2</v>
      </c>
      <c r="AB151">
        <v>2.0154975964929762</v>
      </c>
      <c r="AC151">
        <v>5.2297882363858007E-3</v>
      </c>
      <c r="AD151">
        <v>-1.3404190152831756</v>
      </c>
      <c r="AE151">
        <v>-1.2535634445589858</v>
      </c>
    </row>
    <row r="152" spans="23:31" x14ac:dyDescent="0.25">
      <c r="W152">
        <v>87</v>
      </c>
      <c r="X152">
        <v>78.705256086701098</v>
      </c>
      <c r="Y152">
        <v>8.2947439132989018</v>
      </c>
      <c r="Z152">
        <v>8.3539119304090832</v>
      </c>
      <c r="AA152">
        <v>7.0826718791226276E-3</v>
      </c>
      <c r="AB152">
        <v>2.2586932681662759</v>
      </c>
      <c r="AC152">
        <v>3.3083074463997504E-3</v>
      </c>
      <c r="AD152">
        <v>-1.3366956165977166</v>
      </c>
      <c r="AE152">
        <v>-1.2449945614063114</v>
      </c>
    </row>
    <row r="153" spans="23:31" x14ac:dyDescent="0.25">
      <c r="W153">
        <v>83</v>
      </c>
      <c r="X153">
        <v>78.687133243569136</v>
      </c>
      <c r="Y153">
        <v>4.3128667564308643</v>
      </c>
      <c r="Z153">
        <v>4.3402808349331679</v>
      </c>
      <c r="AA153">
        <v>6.3161992379971053E-3</v>
      </c>
      <c r="AB153">
        <v>1.1739585310241119</v>
      </c>
      <c r="AC153">
        <v>7.963801711782123E-4</v>
      </c>
      <c r="AD153">
        <v>-1.3329906577816031</v>
      </c>
      <c r="AE153">
        <v>-1.2433052989868596</v>
      </c>
    </row>
    <row r="154" spans="23:31" x14ac:dyDescent="0.25">
      <c r="W154">
        <v>83</v>
      </c>
      <c r="X154">
        <v>79.820451218733595</v>
      </c>
      <c r="Y154">
        <v>3.1795487812664049</v>
      </c>
      <c r="Z154">
        <v>3.2017735129048077</v>
      </c>
      <c r="AA154">
        <v>6.9413815651932099E-3</v>
      </c>
      <c r="AB154">
        <v>0.86574276331839461</v>
      </c>
      <c r="AC154">
        <v>4.7627313825425514E-4</v>
      </c>
      <c r="AD154">
        <v>-1.3329906577816031</v>
      </c>
      <c r="AE154">
        <v>-1.2390071773465654</v>
      </c>
    </row>
    <row r="155" spans="23:31" x14ac:dyDescent="0.25">
      <c r="W155">
        <v>80</v>
      </c>
      <c r="X155">
        <v>78.185714385440789</v>
      </c>
      <c r="Y155">
        <v>1.8142856145592106</v>
      </c>
      <c r="Z155">
        <v>1.8265348270647195</v>
      </c>
      <c r="AA155">
        <v>6.706257293318349E-3</v>
      </c>
      <c r="AB155">
        <v>0.49394390095480256</v>
      </c>
      <c r="AC155">
        <v>1.4974939670034506E-4</v>
      </c>
      <c r="AD155">
        <v>-1.3329906577816031</v>
      </c>
      <c r="AE155">
        <v>-1.2324559341753236</v>
      </c>
    </row>
    <row r="156" spans="23:31" x14ac:dyDescent="0.25">
      <c r="W156">
        <v>79.8</v>
      </c>
      <c r="X156">
        <v>78.023062347295948</v>
      </c>
      <c r="Y156">
        <v>1.7769376527040492</v>
      </c>
      <c r="Z156">
        <v>1.788158524669754</v>
      </c>
      <c r="AA156">
        <v>6.2750991094468961E-3</v>
      </c>
      <c r="AB156">
        <v>0.48367086085981964</v>
      </c>
      <c r="AC156">
        <v>1.3429553673368862E-4</v>
      </c>
      <c r="AD156">
        <v>-1.3219841213691266</v>
      </c>
      <c r="AE156">
        <v>-1.2146203785405663</v>
      </c>
    </row>
    <row r="157" spans="23:31" x14ac:dyDescent="0.25">
      <c r="W157">
        <v>79.5</v>
      </c>
      <c r="X157">
        <v>81.493205069228779</v>
      </c>
      <c r="Y157">
        <v>-1.9932050692287788</v>
      </c>
      <c r="Z157">
        <v>-2.0127954169622626</v>
      </c>
      <c r="AA157">
        <v>9.7329055742049111E-3</v>
      </c>
      <c r="AB157">
        <v>-0.54348383215078855</v>
      </c>
      <c r="AC157">
        <v>2.6391904722619284E-4</v>
      </c>
      <c r="AD157">
        <v>-1.3219841213691266</v>
      </c>
      <c r="AE157">
        <v>-1.2077306473424827</v>
      </c>
    </row>
    <row r="158" spans="23:31" x14ac:dyDescent="0.25">
      <c r="W158">
        <v>79.5</v>
      </c>
      <c r="X158">
        <v>76.406144739436442</v>
      </c>
      <c r="Y158">
        <v>3.0938552605635579</v>
      </c>
      <c r="Z158">
        <v>3.1222521669131709</v>
      </c>
      <c r="AA158">
        <v>9.0950073317396553E-3</v>
      </c>
      <c r="AB158">
        <v>0.84332466801121908</v>
      </c>
      <c r="AC158">
        <v>5.9342789858695148E-4</v>
      </c>
      <c r="AD158">
        <v>-1.3147344895569</v>
      </c>
      <c r="AE158">
        <v>-1.2056951533096294</v>
      </c>
    </row>
    <row r="159" spans="23:31" x14ac:dyDescent="0.25">
      <c r="W159">
        <v>79.400000000000006</v>
      </c>
      <c r="X159">
        <v>78.439640920656728</v>
      </c>
      <c r="Y159">
        <v>0.96035907934327724</v>
      </c>
      <c r="Z159">
        <v>0.97134581784604279</v>
      </c>
      <c r="AA159">
        <v>1.1310841412931358E-2</v>
      </c>
      <c r="AB159">
        <v>0.26206835379803922</v>
      </c>
      <c r="AC159">
        <v>7.1428514381835311E-5</v>
      </c>
      <c r="AD159">
        <v>-1.3147344895569</v>
      </c>
      <c r="AE159">
        <v>-1.2045458267591795</v>
      </c>
    </row>
    <row r="160" spans="23:31" x14ac:dyDescent="0.25">
      <c r="W160">
        <v>78.900000000000006</v>
      </c>
      <c r="X160">
        <v>77.939016960234412</v>
      </c>
      <c r="Y160">
        <v>0.96098303976559407</v>
      </c>
      <c r="Z160">
        <v>0.97171507838045557</v>
      </c>
      <c r="AA160">
        <v>1.1044429435786256E-2</v>
      </c>
      <c r="AB160">
        <v>0.26220329949174892</v>
      </c>
      <c r="AC160">
        <v>6.9799148309526769E-5</v>
      </c>
      <c r="AD160">
        <v>-1.3147344895569</v>
      </c>
      <c r="AE160">
        <v>-1.1972994380233852</v>
      </c>
    </row>
    <row r="161" spans="23:31" x14ac:dyDescent="0.25">
      <c r="W161">
        <v>78.8</v>
      </c>
      <c r="X161">
        <v>83.005534226439337</v>
      </c>
      <c r="Y161">
        <v>-4.2055342264393403</v>
      </c>
      <c r="Z161">
        <v>-4.2353703517235886</v>
      </c>
      <c r="AA161">
        <v>7.0445138928902397E-3</v>
      </c>
      <c r="AB161">
        <v>-1.1451624578778157</v>
      </c>
      <c r="AC161">
        <v>8.4579043451818014E-4</v>
      </c>
      <c r="AD161">
        <v>-1.3039878652542525</v>
      </c>
      <c r="AE161">
        <v>-1.1921687208759577</v>
      </c>
    </row>
    <row r="162" spans="23:31" x14ac:dyDescent="0.25">
      <c r="W162">
        <v>78.3</v>
      </c>
      <c r="X162">
        <v>80.658006283868218</v>
      </c>
      <c r="Y162">
        <v>-2.358006283868221</v>
      </c>
      <c r="Z162">
        <v>-2.3722630473903337</v>
      </c>
      <c r="AA162">
        <v>6.0097734683313888E-3</v>
      </c>
      <c r="AB162">
        <v>-0.64174829136234091</v>
      </c>
      <c r="AC162">
        <v>2.2636680691157961E-4</v>
      </c>
      <c r="AD162">
        <v>-1.3039878652542525</v>
      </c>
      <c r="AE162">
        <v>-1.191205371449148</v>
      </c>
    </row>
    <row r="163" spans="23:31" x14ac:dyDescent="0.25">
      <c r="W163">
        <v>78</v>
      </c>
      <c r="X163">
        <v>80.577186513380369</v>
      </c>
      <c r="Y163">
        <v>-2.5771865133803686</v>
      </c>
      <c r="Z163">
        <v>-2.5931570959431696</v>
      </c>
      <c r="AA163">
        <v>6.158740859852711E-3</v>
      </c>
      <c r="AB163">
        <v>-0.70145232457837492</v>
      </c>
      <c r="AC163">
        <v>2.7719062693490803E-4</v>
      </c>
      <c r="AD163">
        <v>-1.2969062889401866</v>
      </c>
      <c r="AE163">
        <v>-1.1895042073046043</v>
      </c>
    </row>
    <row r="164" spans="23:31" x14ac:dyDescent="0.25">
      <c r="W164">
        <v>78</v>
      </c>
      <c r="X164">
        <v>82.973145017669111</v>
      </c>
      <c r="Y164">
        <v>-4.9731450176691112</v>
      </c>
      <c r="Z164">
        <v>-4.9953946649590222</v>
      </c>
      <c r="AA164">
        <v>4.4540319198366641E-3</v>
      </c>
      <c r="AB164">
        <v>-1.352419065796393</v>
      </c>
      <c r="AC164">
        <v>7.4391256013363891E-4</v>
      </c>
      <c r="AD164">
        <v>-1.2969062889401866</v>
      </c>
      <c r="AE164">
        <v>-1.1892846291957977</v>
      </c>
    </row>
    <row r="165" spans="23:31" x14ac:dyDescent="0.25">
      <c r="W165">
        <v>77.599999999999994</v>
      </c>
      <c r="X165">
        <v>81.306659589240368</v>
      </c>
      <c r="Y165">
        <v>-3.706659589240374</v>
      </c>
      <c r="Z165">
        <v>-3.7266499806024456</v>
      </c>
      <c r="AA165">
        <v>5.3641719684236269E-3</v>
      </c>
      <c r="AB165">
        <v>-1.0084664947739057</v>
      </c>
      <c r="AC165">
        <v>4.9861903720517455E-4</v>
      </c>
      <c r="AD165">
        <v>-1.2898891601746336</v>
      </c>
      <c r="AE165">
        <v>-1.1878162388249778</v>
      </c>
    </row>
    <row r="166" spans="23:31" x14ac:dyDescent="0.25">
      <c r="W166">
        <v>70</v>
      </c>
      <c r="X166">
        <v>70.184086226388558</v>
      </c>
      <c r="Y166">
        <v>-0.18408622638855832</v>
      </c>
      <c r="Z166">
        <v>-0.18488894525088995</v>
      </c>
      <c r="AA166">
        <v>4.3416271386527081E-3</v>
      </c>
      <c r="AB166">
        <v>-5.0058397207257341E-2</v>
      </c>
      <c r="AC166">
        <v>9.9335245165146922E-7</v>
      </c>
      <c r="AD166">
        <v>-1.2898891601746336</v>
      </c>
      <c r="AE166">
        <v>-1.1817207364738271</v>
      </c>
    </row>
    <row r="167" spans="23:31" x14ac:dyDescent="0.25">
      <c r="W167">
        <v>69.8</v>
      </c>
      <c r="X167">
        <v>74.820640704979041</v>
      </c>
      <c r="Y167">
        <v>-5.0206407049790442</v>
      </c>
      <c r="Z167">
        <v>-5.0312189488951589</v>
      </c>
      <c r="AA167">
        <v>2.1025210835723877E-3</v>
      </c>
      <c r="AB167">
        <v>-1.3637256217754372</v>
      </c>
      <c r="AC167">
        <v>3.5621790831471856E-4</v>
      </c>
      <c r="AD167">
        <v>-1.2898891601746336</v>
      </c>
      <c r="AE167">
        <v>-1.1816604558232144</v>
      </c>
    </row>
    <row r="168" spans="23:31" x14ac:dyDescent="0.25">
      <c r="W168">
        <v>69.400000000000006</v>
      </c>
      <c r="X168">
        <v>71.336507673885308</v>
      </c>
      <c r="Y168">
        <v>-1.936507673885302</v>
      </c>
      <c r="Z168">
        <v>-1.939565165541083</v>
      </c>
      <c r="AA168">
        <v>1.5763799588153138E-3</v>
      </c>
      <c r="AB168">
        <v>-0.52586300520566076</v>
      </c>
      <c r="AC168">
        <v>3.9691600454184282E-5</v>
      </c>
      <c r="AD168">
        <v>-1.2898891601746336</v>
      </c>
      <c r="AE168">
        <v>-1.1681589725637564</v>
      </c>
    </row>
    <row r="169" spans="23:31" x14ac:dyDescent="0.25">
      <c r="W169">
        <v>69.400000000000006</v>
      </c>
      <c r="X169">
        <v>70.997647742872942</v>
      </c>
      <c r="Y169">
        <v>-1.5976477428729368</v>
      </c>
      <c r="Z169">
        <v>-1.5999084835865744</v>
      </c>
      <c r="AA169">
        <v>1.4130437689627998E-3</v>
      </c>
      <c r="AB169">
        <v>-0.43380934752216876</v>
      </c>
      <c r="AC169">
        <v>2.4208888587517992E-5</v>
      </c>
      <c r="AD169">
        <v>-1.2760422901524544</v>
      </c>
      <c r="AE169">
        <v>-1.1608866839049228</v>
      </c>
    </row>
    <row r="170" spans="23:31" x14ac:dyDescent="0.25">
      <c r="W170">
        <v>69.5</v>
      </c>
      <c r="X170">
        <v>71.146785855827915</v>
      </c>
      <c r="Y170">
        <v>-1.6467858558279147</v>
      </c>
      <c r="Z170">
        <v>-1.6491634753590887</v>
      </c>
      <c r="AA170">
        <v>1.441712460101221E-3</v>
      </c>
      <c r="AB170">
        <v>-0.44715823988895798</v>
      </c>
      <c r="AC170">
        <v>2.6244301736799248E-5</v>
      </c>
      <c r="AD170">
        <v>-1.2726185683477402</v>
      </c>
      <c r="AE170">
        <v>-1.1597957987373106</v>
      </c>
    </row>
    <row r="171" spans="23:31" x14ac:dyDescent="0.25">
      <c r="W171">
        <v>69.5</v>
      </c>
      <c r="X171">
        <v>71.389662222166905</v>
      </c>
      <c r="Y171">
        <v>-1.8896622221669048</v>
      </c>
      <c r="Z171">
        <v>-1.8922091436808586</v>
      </c>
      <c r="AA171">
        <v>1.3460042313266068E-3</v>
      </c>
      <c r="AB171">
        <v>-0.5130828268369193</v>
      </c>
      <c r="AC171">
        <v>3.2256233451987767E-5</v>
      </c>
      <c r="AD171">
        <v>-1.2726185683477402</v>
      </c>
      <c r="AE171">
        <v>-1.1552367753307045</v>
      </c>
    </row>
    <row r="172" spans="23:31" x14ac:dyDescent="0.25">
      <c r="W172">
        <v>69.599999999999994</v>
      </c>
      <c r="X172">
        <v>71.270025132759173</v>
      </c>
      <c r="Y172">
        <v>-1.6700251327591786</v>
      </c>
      <c r="Z172">
        <v>-1.6725548692067918</v>
      </c>
      <c r="AA172">
        <v>1.5124983306593184E-3</v>
      </c>
      <c r="AB172">
        <v>-0.45348456575705975</v>
      </c>
      <c r="AC172">
        <v>2.8319436456279871E-5</v>
      </c>
      <c r="AD172">
        <v>-1.2726185683477402</v>
      </c>
      <c r="AE172">
        <v>-1.1542624336114122</v>
      </c>
    </row>
    <row r="173" spans="23:31" x14ac:dyDescent="0.25">
      <c r="W173">
        <v>69.599999999999994</v>
      </c>
      <c r="X173">
        <v>71.003287819123898</v>
      </c>
      <c r="Y173">
        <v>-1.4032878191239035</v>
      </c>
      <c r="Z173">
        <v>-1.4057154699836616</v>
      </c>
      <c r="AA173">
        <v>1.7269859453052107E-3</v>
      </c>
      <c r="AB173">
        <v>-0.38109470083424807</v>
      </c>
      <c r="AC173">
        <v>2.2840868141524558E-5</v>
      </c>
      <c r="AD173">
        <v>-1.2726185683477402</v>
      </c>
      <c r="AE173">
        <v>-1.1534087449144523</v>
      </c>
    </row>
    <row r="174" spans="23:31" x14ac:dyDescent="0.25">
      <c r="W174">
        <v>69.400000000000006</v>
      </c>
      <c r="X174">
        <v>70.615978107582748</v>
      </c>
      <c r="Y174">
        <v>-1.2159781075827425</v>
      </c>
      <c r="Z174">
        <v>-1.2180924290803148</v>
      </c>
      <c r="AA174">
        <v>1.7357644190948165E-3</v>
      </c>
      <c r="AB174">
        <v>-0.33022794349946988</v>
      </c>
      <c r="AC174">
        <v>1.7237735969599131E-5</v>
      </c>
      <c r="AD174">
        <v>-1.2726185683477402</v>
      </c>
      <c r="AE174">
        <v>-1.1481208301222603</v>
      </c>
    </row>
    <row r="175" spans="23:31" x14ac:dyDescent="0.25">
      <c r="W175">
        <v>69</v>
      </c>
      <c r="X175">
        <v>70.842009961904495</v>
      </c>
      <c r="Y175">
        <v>-1.8420099619044947</v>
      </c>
      <c r="Z175">
        <v>-1.8447845682735817</v>
      </c>
      <c r="AA175">
        <v>1.5040273085597158E-3</v>
      </c>
      <c r="AB175">
        <v>-0.50018381637009479</v>
      </c>
      <c r="AC175">
        <v>3.4259103244944913E-5</v>
      </c>
      <c r="AD175">
        <v>-1.2726185683477402</v>
      </c>
      <c r="AE175">
        <v>-1.1470683076178378</v>
      </c>
    </row>
    <row r="176" spans="23:31" x14ac:dyDescent="0.25">
      <c r="W176">
        <v>68.7</v>
      </c>
      <c r="X176">
        <v>70.396179622370425</v>
      </c>
      <c r="Y176">
        <v>-1.6961796223704226</v>
      </c>
      <c r="Z176">
        <v>-1.6989348693071378</v>
      </c>
      <c r="AA176">
        <v>1.6217495952858328E-3</v>
      </c>
      <c r="AB176">
        <v>-0.46061184892893808</v>
      </c>
      <c r="AC176">
        <v>3.1330419729322641E-5</v>
      </c>
      <c r="AD176">
        <v>-1.2523823790942721</v>
      </c>
      <c r="AE176">
        <v>-1.1451624578778157</v>
      </c>
    </row>
    <row r="177" spans="23:31" x14ac:dyDescent="0.25">
      <c r="W177">
        <v>68.400000000000006</v>
      </c>
      <c r="X177">
        <v>72.935989581932972</v>
      </c>
      <c r="Y177">
        <v>-4.5359895819329665</v>
      </c>
      <c r="Z177">
        <v>-4.5483001001893371</v>
      </c>
      <c r="AA177">
        <v>2.7066196128641062E-3</v>
      </c>
      <c r="AB177">
        <v>-1.2324559341753236</v>
      </c>
      <c r="AC177">
        <v>3.7476101236220348E-4</v>
      </c>
      <c r="AD177">
        <v>-1.2523823790942721</v>
      </c>
      <c r="AE177">
        <v>-1.1417735250154137</v>
      </c>
    </row>
    <row r="178" spans="23:31" x14ac:dyDescent="0.25">
      <c r="W178">
        <v>68.5</v>
      </c>
      <c r="X178">
        <v>69.844750581400348</v>
      </c>
      <c r="Y178">
        <v>-1.3447505814003478</v>
      </c>
      <c r="Z178">
        <v>-1.3467054487646521</v>
      </c>
      <c r="AA178">
        <v>1.451592377598948E-3</v>
      </c>
      <c r="AB178">
        <v>-0.36514722040461456</v>
      </c>
      <c r="AC178">
        <v>1.7620525993925936E-5</v>
      </c>
      <c r="AD178">
        <v>-1.2523823790942721</v>
      </c>
      <c r="AE178">
        <v>-1.1389229533970082</v>
      </c>
    </row>
    <row r="179" spans="23:31" x14ac:dyDescent="0.25">
      <c r="W179">
        <v>68.2</v>
      </c>
      <c r="X179">
        <v>72.975332364569269</v>
      </c>
      <c r="Y179">
        <v>-4.775332364569266</v>
      </c>
      <c r="Z179">
        <v>-4.7878307938294569</v>
      </c>
      <c r="AA179">
        <v>2.6104575951811852E-3</v>
      </c>
      <c r="AB179">
        <v>-1.2974242734188999</v>
      </c>
      <c r="AC179">
        <v>4.0051905706430045E-4</v>
      </c>
      <c r="AD179">
        <v>-1.2523823790942721</v>
      </c>
      <c r="AE179">
        <v>-1.1230741003033491</v>
      </c>
    </row>
    <row r="180" spans="23:31" x14ac:dyDescent="0.25">
      <c r="W180">
        <v>68.3</v>
      </c>
      <c r="X180">
        <v>68.12958131655131</v>
      </c>
      <c r="Y180">
        <v>0.1704186834486876</v>
      </c>
      <c r="Z180">
        <v>0.17112244476000171</v>
      </c>
      <c r="AA180">
        <v>4.1126183786526259E-3</v>
      </c>
      <c r="AB180">
        <v>4.633646634425824E-2</v>
      </c>
      <c r="AC180">
        <v>8.0604876942539422E-7</v>
      </c>
      <c r="AD180">
        <v>-1.2523823790942721</v>
      </c>
      <c r="AE180">
        <v>-1.1210561932505538</v>
      </c>
    </row>
    <row r="181" spans="23:31" x14ac:dyDescent="0.25">
      <c r="W181">
        <v>59.7</v>
      </c>
      <c r="X181">
        <v>64.652741680633412</v>
      </c>
      <c r="Y181">
        <v>-4.9527416806334088</v>
      </c>
      <c r="Z181">
        <v>-4.9632487292814886</v>
      </c>
      <c r="AA181">
        <v>2.1169699971107341E-3</v>
      </c>
      <c r="AB181">
        <v>-1.3452923687296769</v>
      </c>
      <c r="AC181">
        <v>3.4904043242870759E-4</v>
      </c>
      <c r="AD181">
        <v>-1.2359023985485402</v>
      </c>
      <c r="AE181">
        <v>-1.1207725145021705</v>
      </c>
    </row>
    <row r="182" spans="23:31" x14ac:dyDescent="0.25">
      <c r="W182">
        <v>59.5</v>
      </c>
      <c r="X182">
        <v>64.118348576533151</v>
      </c>
      <c r="Y182">
        <v>-4.6183485765331511</v>
      </c>
      <c r="Z182">
        <v>-4.6274433381732791</v>
      </c>
      <c r="AA182">
        <v>1.9653966511266789E-3</v>
      </c>
      <c r="AB182">
        <v>-1.2543673154727919</v>
      </c>
      <c r="AC182">
        <v>2.8168348544085941E-4</v>
      </c>
      <c r="AD182">
        <v>-1.2359023985485402</v>
      </c>
      <c r="AE182">
        <v>-1.1191198158772673</v>
      </c>
    </row>
    <row r="183" spans="23:31" x14ac:dyDescent="0.25">
      <c r="W183">
        <v>59.3</v>
      </c>
      <c r="X183">
        <v>62.187632590306016</v>
      </c>
      <c r="Y183">
        <v>-2.8876325903060192</v>
      </c>
      <c r="Z183">
        <v>-2.9144906034038414</v>
      </c>
      <c r="AA183">
        <v>9.2153370014151099E-3</v>
      </c>
      <c r="AB183">
        <v>-0.78716018133165044</v>
      </c>
      <c r="AC183">
        <v>5.2392062515482665E-4</v>
      </c>
      <c r="AD183">
        <v>-1.2294035019788656</v>
      </c>
      <c r="AE183">
        <v>-1.118337492362059</v>
      </c>
    </row>
    <row r="184" spans="23:31" x14ac:dyDescent="0.25">
      <c r="W184">
        <v>59.1</v>
      </c>
      <c r="X184">
        <v>63.294197295652182</v>
      </c>
      <c r="Y184">
        <v>-4.1941972956521809</v>
      </c>
      <c r="Z184">
        <v>-4.2006664226417385</v>
      </c>
      <c r="AA184">
        <v>1.5400239720754299E-3</v>
      </c>
      <c r="AB184">
        <v>-1.1389229533970082</v>
      </c>
      <c r="AC184">
        <v>1.8188330061419774E-4</v>
      </c>
      <c r="AD184">
        <v>-1.2294035019788656</v>
      </c>
      <c r="AE184">
        <v>-1.1148069119026429</v>
      </c>
    </row>
    <row r="185" spans="23:31" x14ac:dyDescent="0.25">
      <c r="W185">
        <v>58.7</v>
      </c>
      <c r="X185">
        <v>62.904562967076444</v>
      </c>
      <c r="Y185">
        <v>-4.2045629670764413</v>
      </c>
      <c r="Z185">
        <v>-4.2113121782896812</v>
      </c>
      <c r="AA185">
        <v>1.6026385429309181E-3</v>
      </c>
      <c r="AB185">
        <v>-1.1417735250154137</v>
      </c>
      <c r="AC185">
        <v>1.9023893696947915E-4</v>
      </c>
      <c r="AD185">
        <v>-1.2294035019788656</v>
      </c>
      <c r="AE185">
        <v>-1.1141102023107983</v>
      </c>
    </row>
    <row r="186" spans="23:31" x14ac:dyDescent="0.25">
      <c r="W186">
        <v>58.4</v>
      </c>
      <c r="X186">
        <v>62.526930593105163</v>
      </c>
      <c r="Y186">
        <v>-4.1269305931051647</v>
      </c>
      <c r="Z186">
        <v>-4.1341491302426334</v>
      </c>
      <c r="AA186">
        <v>1.7460756518576752E-3</v>
      </c>
      <c r="AB186">
        <v>-1.1207725145021705</v>
      </c>
      <c r="AC186">
        <v>1.9973965197392672E-4</v>
      </c>
      <c r="AD186">
        <v>-1.2197514087080794</v>
      </c>
      <c r="AE186">
        <v>-1.1117370061259413</v>
      </c>
    </row>
    <row r="187" spans="23:31" x14ac:dyDescent="0.25">
      <c r="W187">
        <v>57.6</v>
      </c>
      <c r="X187">
        <v>61.704570306341239</v>
      </c>
      <c r="Y187">
        <v>-4.1045703063412375</v>
      </c>
      <c r="Z187">
        <v>-4.1125384023762379</v>
      </c>
      <c r="AA187">
        <v>1.9375128583344213E-3</v>
      </c>
      <c r="AB187">
        <v>-1.1148069119026429</v>
      </c>
      <c r="AC187">
        <v>2.1932769830309298E-4</v>
      </c>
      <c r="AD187">
        <v>-1.2197514087080794</v>
      </c>
      <c r="AE187">
        <v>-1.1083385122244067</v>
      </c>
    </row>
    <row r="188" spans="23:31" x14ac:dyDescent="0.25">
      <c r="W188">
        <v>57.1</v>
      </c>
      <c r="X188">
        <v>61.450543037953445</v>
      </c>
      <c r="Y188">
        <v>-4.3505430379534431</v>
      </c>
      <c r="Z188">
        <v>-4.3593355077584661</v>
      </c>
      <c r="AA188">
        <v>2.0169289079428124E-3</v>
      </c>
      <c r="AB188">
        <v>-1.1816604558232144</v>
      </c>
      <c r="AC188">
        <v>2.5654298010798729E-4</v>
      </c>
      <c r="AD188">
        <v>-1.2197514087080794</v>
      </c>
      <c r="AE188">
        <v>-1.1069482068849326</v>
      </c>
    </row>
    <row r="189" spans="23:31" x14ac:dyDescent="0.25">
      <c r="W189">
        <v>56.8</v>
      </c>
      <c r="X189">
        <v>61.05327076211978</v>
      </c>
      <c r="Y189">
        <v>-4.2532707621197829</v>
      </c>
      <c r="Z189">
        <v>-4.2618419555028169</v>
      </c>
      <c r="AA189">
        <v>2.0111476381633703E-3</v>
      </c>
      <c r="AB189">
        <v>-1.1552367753307045</v>
      </c>
      <c r="AC189">
        <v>2.4449365283160375E-4</v>
      </c>
      <c r="AD189">
        <v>-1.210211632562187</v>
      </c>
      <c r="AE189">
        <v>-1.1038545949306053</v>
      </c>
    </row>
    <row r="190" spans="23:31" x14ac:dyDescent="0.25">
      <c r="W190">
        <v>56.5</v>
      </c>
      <c r="X190">
        <v>58.590900733972518</v>
      </c>
      <c r="Y190">
        <v>-2.0909007339725179</v>
      </c>
      <c r="Z190">
        <v>-2.1131514425310698</v>
      </c>
      <c r="AA190">
        <v>1.0529632713831139E-2</v>
      </c>
      <c r="AB190">
        <v>-0.5703518293797899</v>
      </c>
      <c r="AC190">
        <v>3.1470484047901707E-4</v>
      </c>
      <c r="AD190">
        <v>-1.207056068729359</v>
      </c>
      <c r="AE190">
        <v>-1.0981586481033669</v>
      </c>
    </row>
    <row r="191" spans="23:31" x14ac:dyDescent="0.25">
      <c r="W191">
        <v>56.1</v>
      </c>
      <c r="X191">
        <v>59.526277597522437</v>
      </c>
      <c r="Y191">
        <v>-3.4262775975224358</v>
      </c>
      <c r="Z191">
        <v>-3.4377072719180646</v>
      </c>
      <c r="AA191">
        <v>3.3247957116648284E-3</v>
      </c>
      <c r="AB191">
        <v>-0.93122910209052423</v>
      </c>
      <c r="AC191">
        <v>2.6298544092167962E-4</v>
      </c>
      <c r="AD191">
        <v>-1.207056068729359</v>
      </c>
      <c r="AE191">
        <v>-1.0910053359485272</v>
      </c>
    </row>
    <row r="192" spans="23:31" x14ac:dyDescent="0.25">
      <c r="W192">
        <v>55.8</v>
      </c>
      <c r="X192">
        <v>59.754560455331571</v>
      </c>
      <c r="Y192">
        <v>-3.9545604553315741</v>
      </c>
      <c r="Z192">
        <v>-3.9648537177399206</v>
      </c>
      <c r="AA192">
        <v>2.5961266521112494E-3</v>
      </c>
      <c r="AB192">
        <v>-1.0744185898977081</v>
      </c>
      <c r="AC192">
        <v>2.7315500856796234E-4</v>
      </c>
      <c r="AD192">
        <v>-1.207056068729359</v>
      </c>
      <c r="AE192">
        <v>-1.085148050920989</v>
      </c>
    </row>
    <row r="193" spans="23:31" x14ac:dyDescent="0.25">
      <c r="W193">
        <v>55.6</v>
      </c>
      <c r="X193">
        <v>59.352444060412509</v>
      </c>
      <c r="Y193">
        <v>-3.7524440604125076</v>
      </c>
      <c r="Z193">
        <v>-3.7636954961233542</v>
      </c>
      <c r="AA193">
        <v>2.9894649347784498E-3</v>
      </c>
      <c r="AB193">
        <v>-1.0197064656846297</v>
      </c>
      <c r="AC193">
        <v>2.8343362891455258E-4</v>
      </c>
      <c r="AD193">
        <v>-1.207056068729359</v>
      </c>
      <c r="AE193">
        <v>-1.0803821498705628</v>
      </c>
    </row>
    <row r="194" spans="23:31" x14ac:dyDescent="0.25">
      <c r="W194">
        <v>69.400000000000006</v>
      </c>
      <c r="X194">
        <v>68.95065245517587</v>
      </c>
      <c r="Y194">
        <v>0.44934754482413553</v>
      </c>
      <c r="Z194">
        <v>0.45106127132872587</v>
      </c>
      <c r="AA194">
        <v>3.7993208761775564E-3</v>
      </c>
      <c r="AB194">
        <v>0.12215739881492792</v>
      </c>
      <c r="AC194">
        <v>5.1737567754079725E-6</v>
      </c>
      <c r="AD194">
        <v>-1.207056068729359</v>
      </c>
      <c r="AE194">
        <v>-1.079220019667174</v>
      </c>
    </row>
    <row r="195" spans="23:31" x14ac:dyDescent="0.25">
      <c r="W195">
        <v>69.099999999999994</v>
      </c>
      <c r="X195">
        <v>68.724866994056853</v>
      </c>
      <c r="Y195">
        <v>0.37513300594314103</v>
      </c>
      <c r="Z195">
        <v>0.3765478473094106</v>
      </c>
      <c r="AA195">
        <v>3.7574012874456737E-3</v>
      </c>
      <c r="AB195">
        <v>0.10197965610916558</v>
      </c>
      <c r="AC195">
        <v>3.5657991160718699E-6</v>
      </c>
      <c r="AD195">
        <v>-1.1914554566319386</v>
      </c>
      <c r="AE195">
        <v>-1.0744185898977081</v>
      </c>
    </row>
    <row r="196" spans="23:31" x14ac:dyDescent="0.25">
      <c r="W196">
        <v>68.7</v>
      </c>
      <c r="X196">
        <v>68.329776599405847</v>
      </c>
      <c r="Y196">
        <v>0.37022340059415626</v>
      </c>
      <c r="Z196">
        <v>0.37157599212457626</v>
      </c>
      <c r="AA196">
        <v>3.6401478004260911E-3</v>
      </c>
      <c r="AB196">
        <v>0.10063906096835187</v>
      </c>
      <c r="AC196">
        <v>3.3639014541475943E-6</v>
      </c>
      <c r="AD196">
        <v>-1.1914554566319386</v>
      </c>
      <c r="AE196">
        <v>-1.0697416243845477</v>
      </c>
    </row>
    <row r="197" spans="23:31" x14ac:dyDescent="0.25">
      <c r="W197">
        <v>68.3</v>
      </c>
      <c r="X197">
        <v>67.899392554301798</v>
      </c>
      <c r="Y197">
        <v>0.40060744569819917</v>
      </c>
      <c r="Z197">
        <v>0.40175950654165149</v>
      </c>
      <c r="AA197">
        <v>2.8675384768447137E-3</v>
      </c>
      <c r="AB197">
        <v>0.10885626008583756</v>
      </c>
      <c r="AC197">
        <v>3.0979223850872001E-6</v>
      </c>
      <c r="AD197">
        <v>-1.1914554566319386</v>
      </c>
      <c r="AE197">
        <v>-1.065695081293228</v>
      </c>
    </row>
    <row r="198" spans="23:31" x14ac:dyDescent="0.25">
      <c r="W198">
        <v>67.900000000000006</v>
      </c>
      <c r="X198">
        <v>60.55708756792562</v>
      </c>
      <c r="Y198">
        <v>7.3429124320743853</v>
      </c>
      <c r="Z198">
        <v>7.4923813534096197</v>
      </c>
      <c r="AA198">
        <v>1.9949454557223766E-2</v>
      </c>
      <c r="AB198">
        <v>2.0125882448557744</v>
      </c>
      <c r="AC198">
        <v>7.4954848315086815E-3</v>
      </c>
      <c r="AD198">
        <v>-1.182232646923248</v>
      </c>
      <c r="AE198">
        <v>-1.0646772584977371</v>
      </c>
    </row>
    <row r="199" spans="23:31" x14ac:dyDescent="0.25">
      <c r="W199">
        <v>67.400000000000006</v>
      </c>
      <c r="X199">
        <v>60.752873566984967</v>
      </c>
      <c r="Y199">
        <v>6.647126433015039</v>
      </c>
      <c r="Z199">
        <v>6.766731927055524</v>
      </c>
      <c r="AA199">
        <v>1.7675518304820989E-2</v>
      </c>
      <c r="AB199">
        <v>1.8197732450396658</v>
      </c>
      <c r="AC199">
        <v>5.4170027475895473E-3</v>
      </c>
      <c r="AD199">
        <v>-1.182232646923248</v>
      </c>
      <c r="AE199">
        <v>-1.0531127677056122</v>
      </c>
    </row>
    <row r="200" spans="23:31" x14ac:dyDescent="0.25">
      <c r="W200">
        <v>67</v>
      </c>
      <c r="X200">
        <v>60.528737934785084</v>
      </c>
      <c r="Y200">
        <v>6.4712620652149155</v>
      </c>
      <c r="Z200">
        <v>6.5841933969090363</v>
      </c>
      <c r="AA200">
        <v>1.715188556689929E-2</v>
      </c>
      <c r="AB200">
        <v>1.7711551379721062</v>
      </c>
      <c r="AC200">
        <v>4.9767518112812919E-3</v>
      </c>
      <c r="AD200">
        <v>-1.182232646923248</v>
      </c>
      <c r="AE200">
        <v>-1.0522772269320573</v>
      </c>
    </row>
    <row r="201" spans="23:31" x14ac:dyDescent="0.25">
      <c r="W201">
        <v>66.5</v>
      </c>
      <c r="X201">
        <v>60.027236488344023</v>
      </c>
      <c r="Y201">
        <v>6.4727635116559767</v>
      </c>
      <c r="Z201">
        <v>6.5791448713484186</v>
      </c>
      <c r="AA201">
        <v>1.6169481258228598E-2</v>
      </c>
      <c r="AB201">
        <v>1.7706813571898916</v>
      </c>
      <c r="AC201">
        <v>4.6845075295515182E-3</v>
      </c>
      <c r="AD201">
        <v>-1.182232646923248</v>
      </c>
      <c r="AE201">
        <v>-1.0521688361248844</v>
      </c>
    </row>
    <row r="202" spans="23:31" x14ac:dyDescent="0.25">
      <c r="W202">
        <v>65.8</v>
      </c>
      <c r="X202">
        <v>59.310274122459155</v>
      </c>
      <c r="Y202">
        <v>6.4897258775408417</v>
      </c>
      <c r="Z202">
        <v>6.5897552935612538</v>
      </c>
      <c r="AA202">
        <v>1.5179534226126792E-2</v>
      </c>
      <c r="AB202">
        <v>1.7744290555662372</v>
      </c>
      <c r="AC202">
        <v>4.4119032074528023E-3</v>
      </c>
      <c r="AD202">
        <v>-1.1700898139672218</v>
      </c>
      <c r="AE202">
        <v>-1.0505258803798811</v>
      </c>
    </row>
    <row r="203" spans="23:31" x14ac:dyDescent="0.25">
      <c r="W203">
        <v>65</v>
      </c>
      <c r="X203">
        <v>58.701541663018411</v>
      </c>
      <c r="Y203">
        <v>6.2984583369815894</v>
      </c>
      <c r="Z203">
        <v>6.3913729194826985</v>
      </c>
      <c r="AA203">
        <v>1.4537499794117541E-2</v>
      </c>
      <c r="AB203">
        <v>1.7215713618229798</v>
      </c>
      <c r="AC203">
        <v>3.974724144051661E-3</v>
      </c>
      <c r="AD203">
        <v>-1.1700898139672218</v>
      </c>
      <c r="AE203">
        <v>-1.0422726827293183</v>
      </c>
    </row>
    <row r="204" spans="23:31" x14ac:dyDescent="0.25">
      <c r="W204">
        <v>64.2</v>
      </c>
      <c r="X204">
        <v>57.87002546138811</v>
      </c>
      <c r="Y204">
        <v>6.3299745386118929</v>
      </c>
      <c r="Z204">
        <v>6.4174121346167965</v>
      </c>
      <c r="AA204">
        <v>1.3625055422768647E-2</v>
      </c>
      <c r="AB204">
        <v>1.7293853162234321</v>
      </c>
      <c r="AC204">
        <v>3.7556671434362788E-3</v>
      </c>
      <c r="AD204">
        <v>-1.1700898139672218</v>
      </c>
      <c r="AE204">
        <v>-1.041407146865424</v>
      </c>
    </row>
    <row r="205" spans="23:31" x14ac:dyDescent="0.25">
      <c r="W205">
        <v>63.3</v>
      </c>
      <c r="X205">
        <v>57.555199123955674</v>
      </c>
      <c r="Y205">
        <v>5.744800876044323</v>
      </c>
      <c r="Z205">
        <v>5.8230122395922805</v>
      </c>
      <c r="AA205">
        <v>1.3431426953935944E-2</v>
      </c>
      <c r="AB205">
        <v>1.5693584910070466</v>
      </c>
      <c r="AC205">
        <v>3.048221453735284E-3</v>
      </c>
      <c r="AD205">
        <v>-1.1700898139672218</v>
      </c>
      <c r="AE205">
        <v>-1.0407515964801242</v>
      </c>
    </row>
    <row r="206" spans="23:31" x14ac:dyDescent="0.25">
      <c r="W206">
        <v>62.5</v>
      </c>
      <c r="X206">
        <v>57.134159797413204</v>
      </c>
      <c r="Y206">
        <v>5.3658402025867957</v>
      </c>
      <c r="Z206">
        <v>5.4368540162889758</v>
      </c>
      <c r="AA206">
        <v>1.3061563450005708E-2</v>
      </c>
      <c r="AB206">
        <v>1.4655597313866553</v>
      </c>
      <c r="AC206">
        <v>2.5841603784794052E-3</v>
      </c>
      <c r="AD206">
        <v>-1.1700898139672218</v>
      </c>
      <c r="AE206">
        <v>-1.0361521434120922</v>
      </c>
    </row>
    <row r="207" spans="23:31" x14ac:dyDescent="0.25">
      <c r="W207">
        <v>61.7</v>
      </c>
      <c r="X207">
        <v>61.193064007223803</v>
      </c>
      <c r="Y207">
        <v>0.50693599277619938</v>
      </c>
      <c r="Z207">
        <v>0.5150773737030292</v>
      </c>
      <c r="AA207">
        <v>1.5806131937616361E-2</v>
      </c>
      <c r="AB207">
        <v>0.1386511959859574</v>
      </c>
      <c r="AC207">
        <v>2.8067226730431427E-5</v>
      </c>
      <c r="AD207">
        <v>-1.1700898139672218</v>
      </c>
      <c r="AE207">
        <v>-1.0337064493791501</v>
      </c>
    </row>
    <row r="208" spans="23:31" x14ac:dyDescent="0.25">
      <c r="W208">
        <v>62</v>
      </c>
      <c r="X208">
        <v>55.963811014491768</v>
      </c>
      <c r="Y208">
        <v>6.0361889855082325</v>
      </c>
      <c r="Z208">
        <v>6.1131380256359193</v>
      </c>
      <c r="AA208">
        <v>1.2587486133144025E-2</v>
      </c>
      <c r="AB208">
        <v>1.6482547466823618</v>
      </c>
      <c r="AC208">
        <v>3.1484468286547742E-3</v>
      </c>
      <c r="AD208">
        <v>-1.1521925343545227</v>
      </c>
      <c r="AE208">
        <v>-1.0317291358926022</v>
      </c>
    </row>
    <row r="209" spans="23:31" x14ac:dyDescent="0.25">
      <c r="W209">
        <v>77.2</v>
      </c>
      <c r="X209">
        <v>75.736994979027145</v>
      </c>
      <c r="Y209">
        <v>1.463005020972858</v>
      </c>
      <c r="Z209">
        <v>1.4672762784417586</v>
      </c>
      <c r="AA209">
        <v>2.9110110561030565E-3</v>
      </c>
      <c r="AB209">
        <v>0.39754809480057512</v>
      </c>
      <c r="AC209">
        <v>4.1946584333612077E-5</v>
      </c>
      <c r="AD209">
        <v>-1.1521925343545227</v>
      </c>
      <c r="AE209">
        <v>-1.0265849763402246</v>
      </c>
    </row>
    <row r="210" spans="23:31" x14ac:dyDescent="0.25">
      <c r="W210">
        <v>77</v>
      </c>
      <c r="X210">
        <v>76.838263363963335</v>
      </c>
      <c r="Y210">
        <v>0.16173663603666455</v>
      </c>
      <c r="Z210">
        <v>0.16233326727584085</v>
      </c>
      <c r="AA210">
        <v>3.6753479381505024E-3</v>
      </c>
      <c r="AB210">
        <v>4.3966185497086627E-2</v>
      </c>
      <c r="AC210">
        <v>6.4824992266526183E-7</v>
      </c>
      <c r="AD210">
        <v>-1.1463081367501964</v>
      </c>
      <c r="AE210">
        <v>-1.0260607749722135</v>
      </c>
    </row>
    <row r="211" spans="23:31" x14ac:dyDescent="0.25">
      <c r="W211">
        <v>76.8</v>
      </c>
      <c r="X211">
        <v>75.300962793734755</v>
      </c>
      <c r="Y211">
        <v>1.4990372062652426</v>
      </c>
      <c r="Z211">
        <v>1.5034729473023418</v>
      </c>
      <c r="AA211">
        <v>2.9503297981284394E-3</v>
      </c>
      <c r="AB211">
        <v>0.40734729354175714</v>
      </c>
      <c r="AC211">
        <v>4.4636564020595308E-5</v>
      </c>
      <c r="AD211">
        <v>-1.1463081367501964</v>
      </c>
      <c r="AE211">
        <v>-1.0232691851164331</v>
      </c>
    </row>
    <row r="212" spans="23:31" x14ac:dyDescent="0.25">
      <c r="W212">
        <v>76.900000000000006</v>
      </c>
      <c r="X212">
        <v>74.223960415224056</v>
      </c>
      <c r="Y212">
        <v>2.6760395847759497</v>
      </c>
      <c r="Z212">
        <v>2.6840265114188071</v>
      </c>
      <c r="AA212">
        <v>2.9757256900714716E-3</v>
      </c>
      <c r="AB212">
        <v>0.72719433559205937</v>
      </c>
      <c r="AC212">
        <v>1.434813491765768E-4</v>
      </c>
      <c r="AD212">
        <v>-1.1463081367501964</v>
      </c>
      <c r="AE212">
        <v>-1.0229711123362022</v>
      </c>
    </row>
    <row r="213" spans="23:31" x14ac:dyDescent="0.25">
      <c r="W213">
        <v>76.400000000000006</v>
      </c>
      <c r="X213">
        <v>74.442505142844837</v>
      </c>
      <c r="Y213">
        <v>1.9574948571551687</v>
      </c>
      <c r="Z213">
        <v>1.9625712451446162</v>
      </c>
      <c r="AA213">
        <v>2.5866006148840318E-3</v>
      </c>
      <c r="AB213">
        <v>0.53183124761348721</v>
      </c>
      <c r="AC213">
        <v>6.6682088602115319E-5</v>
      </c>
      <c r="AD213">
        <v>-1.1375552391677688</v>
      </c>
      <c r="AE213">
        <v>-1.022251066217744</v>
      </c>
    </row>
    <row r="214" spans="23:31" x14ac:dyDescent="0.25">
      <c r="W214">
        <v>76.099999999999994</v>
      </c>
      <c r="X214">
        <v>72.621315624436903</v>
      </c>
      <c r="Y214">
        <v>3.4786843755630912</v>
      </c>
      <c r="Z214">
        <v>3.5229470521740041</v>
      </c>
      <c r="AA214">
        <v>1.2564104982387605E-2</v>
      </c>
      <c r="AB214">
        <v>0.94988579114491534</v>
      </c>
      <c r="AC214">
        <v>1.0436929348391383E-3</v>
      </c>
      <c r="AD214">
        <v>-1.1375552391677688</v>
      </c>
      <c r="AE214">
        <v>-1.0197064656846297</v>
      </c>
    </row>
    <row r="215" spans="23:31" x14ac:dyDescent="0.25">
      <c r="W215">
        <v>76</v>
      </c>
      <c r="X215">
        <v>73.734117310807704</v>
      </c>
      <c r="Y215">
        <v>2.2658826891922956</v>
      </c>
      <c r="Z215">
        <v>2.2704344857226317</v>
      </c>
      <c r="AA215">
        <v>2.0048129813717086E-3</v>
      </c>
      <c r="AB215">
        <v>0.61543758908738644</v>
      </c>
      <c r="AC215">
        <v>6.9170476909791786E-5</v>
      </c>
      <c r="AD215">
        <v>-1.1375552391677688</v>
      </c>
      <c r="AE215">
        <v>-1.0183032841410518</v>
      </c>
    </row>
    <row r="216" spans="23:31" x14ac:dyDescent="0.25">
      <c r="W216">
        <v>75.400000000000006</v>
      </c>
      <c r="X216">
        <v>74.981633640630946</v>
      </c>
      <c r="Y216">
        <v>0.41836635936905964</v>
      </c>
      <c r="Z216">
        <v>0.4195345108001618</v>
      </c>
      <c r="AA216">
        <v>2.7843989017240669E-3</v>
      </c>
      <c r="AB216">
        <v>0.11367711515902655</v>
      </c>
      <c r="AC216">
        <v>3.2801657670897575E-6</v>
      </c>
      <c r="AD216">
        <v>-1.1375552391677688</v>
      </c>
      <c r="AE216">
        <v>-1.0165253538416261</v>
      </c>
    </row>
    <row r="217" spans="23:31" x14ac:dyDescent="0.25">
      <c r="W217">
        <v>75.7</v>
      </c>
      <c r="X217">
        <v>74.853523150531757</v>
      </c>
      <c r="Y217">
        <v>0.84647684946824597</v>
      </c>
      <c r="Z217">
        <v>0.84897787993978113</v>
      </c>
      <c r="AA217">
        <v>2.9459312552583181E-3</v>
      </c>
      <c r="AB217">
        <v>0.23002050360269738</v>
      </c>
      <c r="AC217">
        <v>1.42116437669692E-5</v>
      </c>
      <c r="AD217">
        <v>-1.1375552391677688</v>
      </c>
      <c r="AE217">
        <v>-1.0164111201003909</v>
      </c>
    </row>
    <row r="218" spans="23:31" x14ac:dyDescent="0.25">
      <c r="W218">
        <v>75</v>
      </c>
      <c r="X218">
        <v>65.568099923622768</v>
      </c>
      <c r="Y218">
        <v>9.4319000763772323</v>
      </c>
      <c r="Z218">
        <v>9.7042916242497768</v>
      </c>
      <c r="AA218">
        <v>2.8069184070259767E-2</v>
      </c>
      <c r="AB218">
        <v>2.595926160751485</v>
      </c>
      <c r="AC218">
        <v>1.7692386636071616E-2</v>
      </c>
      <c r="AD218">
        <v>-1.1375552391677688</v>
      </c>
      <c r="AE218">
        <v>-1.0097527772884203</v>
      </c>
    </row>
    <row r="219" spans="23:31" x14ac:dyDescent="0.25">
      <c r="W219">
        <v>75.5</v>
      </c>
      <c r="X219">
        <v>65.364297543517338</v>
      </c>
      <c r="Y219">
        <v>10.135702456482662</v>
      </c>
      <c r="Z219">
        <v>10.393787348026279</v>
      </c>
      <c r="AA219">
        <v>2.4830688073739796E-2</v>
      </c>
      <c r="AB219">
        <v>2.7849965405942796</v>
      </c>
      <c r="AC219">
        <v>1.7954171257503565E-2</v>
      </c>
      <c r="AD219">
        <v>-1.1375552391677688</v>
      </c>
      <c r="AE219">
        <v>-1.0088489959656239</v>
      </c>
    </row>
    <row r="220" spans="23:31" x14ac:dyDescent="0.25">
      <c r="W220">
        <v>65.099999999999994</v>
      </c>
      <c r="X220">
        <v>69.139755953627514</v>
      </c>
      <c r="Y220">
        <v>-4.0397559536275196</v>
      </c>
      <c r="Z220">
        <v>-4.0546502871499541</v>
      </c>
      <c r="AA220">
        <v>3.673395352895258E-3</v>
      </c>
      <c r="AB220">
        <v>-1.0981586481033669</v>
      </c>
      <c r="AC220">
        <v>4.0420662913781606E-4</v>
      </c>
      <c r="AD220">
        <v>-1.1174634002413726</v>
      </c>
      <c r="AE220">
        <v>-1.0084664947739057</v>
      </c>
    </row>
    <row r="221" spans="23:31" x14ac:dyDescent="0.25">
      <c r="W221">
        <v>64.2</v>
      </c>
      <c r="X221">
        <v>68.260370556989102</v>
      </c>
      <c r="Y221">
        <v>-4.0603705569890991</v>
      </c>
      <c r="Z221">
        <v>-4.0760211572149672</v>
      </c>
      <c r="AA221">
        <v>3.8396759050596295E-3</v>
      </c>
      <c r="AB221">
        <v>-1.1038545949306053</v>
      </c>
      <c r="AC221">
        <v>4.2696903765921079E-4</v>
      </c>
      <c r="AD221">
        <v>-1.1174634002413726</v>
      </c>
      <c r="AE221">
        <v>-1.0079578673014251</v>
      </c>
    </row>
    <row r="222" spans="23:31" x14ac:dyDescent="0.25">
      <c r="W222">
        <v>63.4</v>
      </c>
      <c r="X222">
        <v>72.538636041893099</v>
      </c>
      <c r="Y222">
        <v>-9.1386360418931005</v>
      </c>
      <c r="Z222">
        <v>-9.1816811758617334</v>
      </c>
      <c r="AA222">
        <v>4.6881538515832757E-3</v>
      </c>
      <c r="AB222">
        <v>-2.4854934033343148</v>
      </c>
      <c r="AC222">
        <v>2.6453017971405112E-3</v>
      </c>
      <c r="AD222">
        <v>-1.1174634002413726</v>
      </c>
      <c r="AE222">
        <v>-1.0069454846100909</v>
      </c>
    </row>
    <row r="223" spans="23:31" x14ac:dyDescent="0.25">
      <c r="W223">
        <v>62.2</v>
      </c>
      <c r="X223">
        <v>65.704092366123916</v>
      </c>
      <c r="Y223">
        <v>-3.5040923661239134</v>
      </c>
      <c r="Z223">
        <v>-3.5122736226575313</v>
      </c>
      <c r="AA223">
        <v>2.3293334781339407E-3</v>
      </c>
      <c r="AB223">
        <v>-0.95190314965136447</v>
      </c>
      <c r="AC223">
        <v>1.9232569378504276E-4</v>
      </c>
      <c r="AD223">
        <v>-1.1174634002413726</v>
      </c>
      <c r="AE223">
        <v>-1.0040924510913853</v>
      </c>
    </row>
    <row r="224" spans="23:31" x14ac:dyDescent="0.25">
      <c r="W224">
        <v>61.1</v>
      </c>
      <c r="X224">
        <v>64.705364290329925</v>
      </c>
      <c r="Y224">
        <v>-3.6053642903299234</v>
      </c>
      <c r="Z224">
        <v>-3.6149238791357092</v>
      </c>
      <c r="AA224">
        <v>2.6444785908123873E-3</v>
      </c>
      <c r="AB224">
        <v>-0.9795688692966662</v>
      </c>
      <c r="AC224">
        <v>2.3129557464640833E-4</v>
      </c>
      <c r="AD224">
        <v>-1.1174634002413726</v>
      </c>
      <c r="AE224">
        <v>-1.0031102253314492</v>
      </c>
    </row>
    <row r="225" spans="23:31" x14ac:dyDescent="0.25">
      <c r="W225">
        <v>59.2</v>
      </c>
      <c r="X225">
        <v>62.590889015636257</v>
      </c>
      <c r="Y225">
        <v>-3.3908890156362546</v>
      </c>
      <c r="Z225">
        <v>-3.4030509014754742</v>
      </c>
      <c r="AA225">
        <v>3.5738183739618158E-3</v>
      </c>
      <c r="AB225">
        <v>-0.92172598328181188</v>
      </c>
      <c r="AC225">
        <v>2.7701183394563701E-4</v>
      </c>
      <c r="AD225">
        <v>-1.1174634002413726</v>
      </c>
      <c r="AE225">
        <v>-0.99758186473433841</v>
      </c>
    </row>
    <row r="226" spans="23:31" x14ac:dyDescent="0.25">
      <c r="W226">
        <v>57.5</v>
      </c>
      <c r="X226">
        <v>59.894627632501404</v>
      </c>
      <c r="Y226">
        <v>-2.394627632501404</v>
      </c>
      <c r="Z226">
        <v>-2.4059399520827327</v>
      </c>
      <c r="AA226">
        <v>4.7018295579378993E-3</v>
      </c>
      <c r="AB226">
        <v>-0.65128669602389655</v>
      </c>
      <c r="AC226">
        <v>1.8216519565878109E-4</v>
      </c>
      <c r="AD226">
        <v>-1.1005940465096573</v>
      </c>
      <c r="AE226">
        <v>-0.99719487023457976</v>
      </c>
    </row>
    <row r="227" spans="23:31" x14ac:dyDescent="0.25">
      <c r="W227">
        <v>56.9</v>
      </c>
      <c r="X227">
        <v>59.225376366353608</v>
      </c>
      <c r="Y227">
        <v>-2.3253763663536091</v>
      </c>
      <c r="Z227">
        <v>-2.3374987842641914</v>
      </c>
      <c r="AA227">
        <v>5.1860638354920257E-3</v>
      </c>
      <c r="AB227">
        <v>-0.63260576299662397</v>
      </c>
      <c r="AC227">
        <v>1.8965731610889736E-4</v>
      </c>
      <c r="AD227">
        <v>-1.1005940465096573</v>
      </c>
      <c r="AE227">
        <v>-0.99470876451070922</v>
      </c>
    </row>
    <row r="228" spans="23:31" x14ac:dyDescent="0.25">
      <c r="W228">
        <v>54.8</v>
      </c>
      <c r="X228">
        <v>57.168283547271031</v>
      </c>
      <c r="Y228">
        <v>-2.3682835472710337</v>
      </c>
      <c r="Z228">
        <v>-2.3838093832531086</v>
      </c>
      <c r="AA228">
        <v>6.5130358539361981E-3</v>
      </c>
      <c r="AB228">
        <v>-0.64470855247209813</v>
      </c>
      <c r="AC228">
        <v>2.4771680715439056E-4</v>
      </c>
      <c r="AD228">
        <v>-1.0950400512086547</v>
      </c>
      <c r="AE228">
        <v>-0.98119658646140195</v>
      </c>
    </row>
    <row r="229" spans="23:31" x14ac:dyDescent="0.25">
      <c r="W229">
        <v>51.7</v>
      </c>
      <c r="X229">
        <v>53.189337408483546</v>
      </c>
      <c r="Y229">
        <v>-1.4893374084835429</v>
      </c>
      <c r="Z229">
        <v>-1.5045448009043838</v>
      </c>
      <c r="AA229">
        <v>1.0107636815931745E-2</v>
      </c>
      <c r="AB229">
        <v>-0.40617195300482223</v>
      </c>
      <c r="AC229">
        <v>1.5314006675232352E-4</v>
      </c>
      <c r="AD229">
        <v>-1.0950400512086547</v>
      </c>
      <c r="AE229">
        <v>-0.9795688692966662</v>
      </c>
    </row>
    <row r="230" spans="23:31" x14ac:dyDescent="0.25">
      <c r="W230">
        <v>48.1</v>
      </c>
      <c r="X230">
        <v>48.005876846270212</v>
      </c>
      <c r="Y230">
        <v>9.4123153729789522E-2</v>
      </c>
      <c r="Z230">
        <v>9.5744882230519579E-2</v>
      </c>
      <c r="AA230">
        <v>1.693801760416748E-2</v>
      </c>
      <c r="AB230">
        <v>2.5758278818342858E-2</v>
      </c>
      <c r="AC230">
        <v>1.0392563179239808E-6</v>
      </c>
      <c r="AD230">
        <v>-1.0895196306228982</v>
      </c>
      <c r="AE230">
        <v>-0.97146392122288017</v>
      </c>
    </row>
    <row r="231" spans="23:31" x14ac:dyDescent="0.25">
      <c r="W231">
        <v>46.4</v>
      </c>
      <c r="X231">
        <v>45.362625352024295</v>
      </c>
      <c r="Y231">
        <v>1.0373746479757031</v>
      </c>
      <c r="Z231">
        <v>1.0595384453688084</v>
      </c>
      <c r="AA231">
        <v>2.091835127831836E-2</v>
      </c>
      <c r="AB231">
        <v>0.28447034207048</v>
      </c>
      <c r="AC231">
        <v>1.5717730793179133E-4</v>
      </c>
      <c r="AD231">
        <v>-1.0895196306228982</v>
      </c>
      <c r="AE231">
        <v>-0.96687496073069934</v>
      </c>
    </row>
    <row r="232" spans="23:31" x14ac:dyDescent="0.25">
      <c r="W232">
        <v>46</v>
      </c>
      <c r="X232">
        <v>43.974615347605656</v>
      </c>
      <c r="Y232">
        <v>2.0253846523943437</v>
      </c>
      <c r="Z232">
        <v>2.0723002521654834</v>
      </c>
      <c r="AA232">
        <v>2.263938332397282E-2</v>
      </c>
      <c r="AB232">
        <v>0.55589263140530376</v>
      </c>
      <c r="AC232">
        <v>6.5072712076931385E-4</v>
      </c>
      <c r="AD232">
        <v>-1.0895196306228982</v>
      </c>
      <c r="AE232">
        <v>-0.96585572245239448</v>
      </c>
    </row>
    <row r="233" spans="23:31" x14ac:dyDescent="0.25">
      <c r="W233">
        <v>46.7</v>
      </c>
      <c r="X233">
        <v>42.250212274261926</v>
      </c>
      <c r="Y233">
        <v>4.4497877257380765</v>
      </c>
      <c r="Z233">
        <v>4.5670288020577985</v>
      </c>
      <c r="AA233">
        <v>2.5671192672770786E-2</v>
      </c>
      <c r="AB233">
        <v>1.2231996331292836</v>
      </c>
      <c r="AC233">
        <v>3.5837895781540619E-3</v>
      </c>
      <c r="AD233">
        <v>-1.0895196306228982</v>
      </c>
      <c r="AE233">
        <v>-0.96504842236333621</v>
      </c>
    </row>
    <row r="234" spans="23:31" x14ac:dyDescent="0.25">
      <c r="W234">
        <v>47.8</v>
      </c>
      <c r="X234">
        <v>42.928114802564146</v>
      </c>
      <c r="Y234">
        <v>4.8718851974358515</v>
      </c>
      <c r="Z234">
        <v>5.0056531128916859</v>
      </c>
      <c r="AA234">
        <v>2.6723369046752956E-2</v>
      </c>
      <c r="AB234">
        <v>1.3399534709891365</v>
      </c>
      <c r="AC234">
        <v>4.4816884670610731E-3</v>
      </c>
      <c r="AD234">
        <v>-1.0895196306228982</v>
      </c>
      <c r="AE234">
        <v>-0.96405698882398982</v>
      </c>
    </row>
    <row r="235" spans="23:31" x14ac:dyDescent="0.25">
      <c r="W235">
        <v>74.8</v>
      </c>
      <c r="X235">
        <v>75.077904466299614</v>
      </c>
      <c r="Y235">
        <v>-0.27790446629961707</v>
      </c>
      <c r="Z235">
        <v>-0.27863339654615515</v>
      </c>
      <c r="AA235">
        <v>2.6160907327704378E-3</v>
      </c>
      <c r="AB235">
        <v>-7.5504905406829567E-2</v>
      </c>
      <c r="AC235">
        <v>1.3594025972474144E-6</v>
      </c>
      <c r="AD235">
        <v>-1.0758617643853021</v>
      </c>
      <c r="AE235">
        <v>-0.96056925574615515</v>
      </c>
    </row>
    <row r="236" spans="23:31" x14ac:dyDescent="0.25">
      <c r="W236">
        <v>74.7</v>
      </c>
      <c r="X236">
        <v>74.434343437857095</v>
      </c>
      <c r="Y236">
        <v>0.26565656214290811</v>
      </c>
      <c r="Z236">
        <v>0.26617875061266716</v>
      </c>
      <c r="AA236">
        <v>1.9617962311543834E-3</v>
      </c>
      <c r="AB236">
        <v>7.2153563574830437E-2</v>
      </c>
      <c r="AC236">
        <v>9.3031412571220066E-7</v>
      </c>
      <c r="AD236">
        <v>-1.0758617643853021</v>
      </c>
      <c r="AE236">
        <v>-0.95683700047911402</v>
      </c>
    </row>
    <row r="237" spans="23:31" x14ac:dyDescent="0.25">
      <c r="W237">
        <v>74.5</v>
      </c>
      <c r="X237">
        <v>74.19694204093804</v>
      </c>
      <c r="Y237">
        <v>0.30305795906195954</v>
      </c>
      <c r="Z237">
        <v>0.30362164020679927</v>
      </c>
      <c r="AA237">
        <v>1.8565249316637726E-3</v>
      </c>
      <c r="AB237">
        <v>8.2307617022132573E-2</v>
      </c>
      <c r="AC237">
        <v>1.145500240867545E-6</v>
      </c>
      <c r="AD237">
        <v>-1.0704544602760233</v>
      </c>
      <c r="AE237">
        <v>-0.95471511988597491</v>
      </c>
    </row>
    <row r="238" spans="23:31" x14ac:dyDescent="0.25">
      <c r="W238">
        <v>74.099999999999994</v>
      </c>
      <c r="X238">
        <v>74.080388939403718</v>
      </c>
      <c r="Y238">
        <v>1.961106059627582E-2</v>
      </c>
      <c r="Z238">
        <v>1.9655155414085357E-2</v>
      </c>
      <c r="AA238">
        <v>2.2434224954541444E-3</v>
      </c>
      <c r="AB238">
        <v>5.3272073601495608E-3</v>
      </c>
      <c r="AC238">
        <v>5.8008680861094995E-9</v>
      </c>
      <c r="AD238">
        <v>-1.0704544602760233</v>
      </c>
      <c r="AE238">
        <v>-0.95190314965136447</v>
      </c>
    </row>
    <row r="239" spans="23:31" x14ac:dyDescent="0.25">
      <c r="W239">
        <v>73.8</v>
      </c>
      <c r="X239">
        <v>73.711035987176928</v>
      </c>
      <c r="Y239">
        <v>8.8964012823069538E-2</v>
      </c>
      <c r="Z239">
        <v>8.9131910804326253E-2</v>
      </c>
      <c r="AA239">
        <v>1.8837022536557001E-3</v>
      </c>
      <c r="AB239">
        <v>2.416209627951222E-2</v>
      </c>
      <c r="AC239">
        <v>1.0016307439657594E-7</v>
      </c>
      <c r="AD239">
        <v>-1.0704544602760233</v>
      </c>
      <c r="AE239">
        <v>-0.95145968534633518</v>
      </c>
    </row>
    <row r="240" spans="23:31" x14ac:dyDescent="0.25">
      <c r="W240">
        <v>73.599999999999994</v>
      </c>
      <c r="X240">
        <v>73.390687613054112</v>
      </c>
      <c r="Y240">
        <v>0.20931238694588217</v>
      </c>
      <c r="Z240">
        <v>0.20977213942981621</v>
      </c>
      <c r="AA240">
        <v>2.1916756209081909E-3</v>
      </c>
      <c r="AB240">
        <v>5.6856770642350556E-2</v>
      </c>
      <c r="AC240">
        <v>6.4550683728674535E-7</v>
      </c>
      <c r="AD240">
        <v>-1.0704544602760233</v>
      </c>
      <c r="AE240">
        <v>-0.94796601404567571</v>
      </c>
    </row>
    <row r="241" spans="23:31" x14ac:dyDescent="0.25">
      <c r="W241">
        <v>73.400000000000006</v>
      </c>
      <c r="X241">
        <v>71.033728482049014</v>
      </c>
      <c r="Y241">
        <v>2.3662715179509917</v>
      </c>
      <c r="Z241">
        <v>2.3788660906674437</v>
      </c>
      <c r="AA241">
        <v>5.2943596808029212E-3</v>
      </c>
      <c r="AB241">
        <v>0.64376610379171284</v>
      </c>
      <c r="AC241">
        <v>2.0053140139675703E-4</v>
      </c>
      <c r="AD241">
        <v>-1.0597326997110486</v>
      </c>
      <c r="AE241">
        <v>-0.94339282864096119</v>
      </c>
    </row>
    <row r="242" spans="23:31" x14ac:dyDescent="0.25">
      <c r="W242">
        <v>73.3</v>
      </c>
      <c r="X242">
        <v>72.758832135932849</v>
      </c>
      <c r="Y242">
        <v>0.54116786406714823</v>
      </c>
      <c r="Z242">
        <v>0.54226909456653516</v>
      </c>
      <c r="AA242">
        <v>2.0307823374352491E-3</v>
      </c>
      <c r="AB242">
        <v>0.14698880066749628</v>
      </c>
      <c r="AC242">
        <v>3.9968885582157418E-6</v>
      </c>
      <c r="AD242">
        <v>-1.0570712344634026</v>
      </c>
      <c r="AE242">
        <v>-0.94259392104394846</v>
      </c>
    </row>
    <row r="243" spans="23:31" x14ac:dyDescent="0.25">
      <c r="W243">
        <v>73</v>
      </c>
      <c r="X243">
        <v>72.783260875888004</v>
      </c>
      <c r="Y243">
        <v>0.21673912411199581</v>
      </c>
      <c r="Z243">
        <v>0.2172394790402592</v>
      </c>
      <c r="AA243">
        <v>2.3032412454134315E-3</v>
      </c>
      <c r="AB243">
        <v>5.8877431158226003E-2</v>
      </c>
      <c r="AC243">
        <v>7.275215954698332E-7</v>
      </c>
      <c r="AD243">
        <v>-1.0570712344634026</v>
      </c>
      <c r="AE243">
        <v>-0.94029407567139645</v>
      </c>
    </row>
    <row r="244" spans="23:31" x14ac:dyDescent="0.25">
      <c r="W244">
        <v>72.7</v>
      </c>
      <c r="X244">
        <v>72.665940285179047</v>
      </c>
      <c r="Y244">
        <v>3.4059714820955378E-2</v>
      </c>
      <c r="Z244">
        <v>3.4137090585133478E-2</v>
      </c>
      <c r="AA244">
        <v>2.2666185913172102E-3</v>
      </c>
      <c r="AB244">
        <v>9.2521907085520438E-3</v>
      </c>
      <c r="AC244">
        <v>1.7679110515216265E-8</v>
      </c>
      <c r="AD244">
        <v>-1.0570712344634026</v>
      </c>
      <c r="AE244">
        <v>-0.93950078792077241</v>
      </c>
    </row>
    <row r="245" spans="23:31" x14ac:dyDescent="0.25">
      <c r="W245">
        <v>72</v>
      </c>
      <c r="X245">
        <v>75.501743571430808</v>
      </c>
      <c r="Y245">
        <v>-3.5017435714308078</v>
      </c>
      <c r="Z245">
        <v>-3.5113555135638705</v>
      </c>
      <c r="AA245">
        <v>2.7373879107185917E-3</v>
      </c>
      <c r="AB245">
        <v>-0.95145968534633518</v>
      </c>
      <c r="AC245">
        <v>2.2589931035609575E-4</v>
      </c>
      <c r="AD245">
        <v>-1.0491313979639725</v>
      </c>
      <c r="AE245">
        <v>-0.93911366851054823</v>
      </c>
    </row>
    <row r="246" spans="23:31" x14ac:dyDescent="0.25">
      <c r="W246">
        <v>71.8</v>
      </c>
      <c r="X246">
        <v>73.287141573851827</v>
      </c>
      <c r="Y246">
        <v>-1.4871415738518294</v>
      </c>
      <c r="Z246">
        <v>-1.4907642104319194</v>
      </c>
      <c r="AA246">
        <v>2.4300533610513721E-3</v>
      </c>
      <c r="AB246">
        <v>-0.40400938740844061</v>
      </c>
      <c r="AC246">
        <v>3.6146202802471122E-5</v>
      </c>
      <c r="AD246">
        <v>-1.0491313979639725</v>
      </c>
      <c r="AE246">
        <v>-0.93865994754175108</v>
      </c>
    </row>
    <row r="247" spans="23:31" x14ac:dyDescent="0.25">
      <c r="W247">
        <v>71.400000000000006</v>
      </c>
      <c r="X247">
        <v>72.975234588603257</v>
      </c>
      <c r="Y247">
        <v>-1.5752345886032515</v>
      </c>
      <c r="Z247">
        <v>-1.5789504660602631</v>
      </c>
      <c r="AA247">
        <v>2.3533844391454162E-3</v>
      </c>
      <c r="AB247">
        <v>-0.42792503277344046</v>
      </c>
      <c r="AC247">
        <v>3.9269813975286817E-5</v>
      </c>
      <c r="AD247">
        <v>-1.0491313979639725</v>
      </c>
      <c r="AE247">
        <v>-0.9360673165285931</v>
      </c>
    </row>
    <row r="248" spans="23:31" x14ac:dyDescent="0.25">
      <c r="W248">
        <v>71</v>
      </c>
      <c r="X248">
        <v>72.497921334808154</v>
      </c>
      <c r="Y248">
        <v>-1.4979213348081544</v>
      </c>
      <c r="Z248">
        <v>-1.5012911753823204</v>
      </c>
      <c r="AA248">
        <v>2.2446282436214119E-3</v>
      </c>
      <c r="AB248">
        <v>-0.40690009304385272</v>
      </c>
      <c r="AC248">
        <v>3.3861269926124373E-5</v>
      </c>
      <c r="AD248">
        <v>-1.0491313979639725</v>
      </c>
      <c r="AE248">
        <v>-0.93205112825690073</v>
      </c>
    </row>
    <row r="249" spans="23:31" x14ac:dyDescent="0.25">
      <c r="W249">
        <v>75</v>
      </c>
      <c r="X249">
        <v>72.118881476138455</v>
      </c>
      <c r="Y249">
        <v>2.8811185238615451</v>
      </c>
      <c r="Z249">
        <v>2.887701606698144</v>
      </c>
      <c r="AA249">
        <v>2.2796963582853431E-3</v>
      </c>
      <c r="AB249">
        <v>0.78264990999826711</v>
      </c>
      <c r="AC249">
        <v>1.2723617048273543E-4</v>
      </c>
      <c r="AD249">
        <v>-1.0386467129748296</v>
      </c>
      <c r="AE249">
        <v>-0.93122910209052423</v>
      </c>
    </row>
    <row r="250" spans="23:31" x14ac:dyDescent="0.25">
      <c r="W250">
        <v>74.3</v>
      </c>
      <c r="X250">
        <v>75.194459496563255</v>
      </c>
      <c r="Y250">
        <v>-0.89445949656325752</v>
      </c>
      <c r="Z250">
        <v>-0.89865608706773514</v>
      </c>
      <c r="AA250">
        <v>4.669851531494032E-3</v>
      </c>
      <c r="AB250">
        <v>-0.24326964416864741</v>
      </c>
      <c r="AC250">
        <v>2.5241727205752563E-5</v>
      </c>
      <c r="AD250">
        <v>-1.0386467129748296</v>
      </c>
      <c r="AE250">
        <v>-0.93106288749256638</v>
      </c>
    </row>
    <row r="251" spans="23:31" x14ac:dyDescent="0.25">
      <c r="W251">
        <v>74.099999999999994</v>
      </c>
      <c r="X251">
        <v>77.097971928471793</v>
      </c>
      <c r="Y251">
        <v>-2.9979719284717987</v>
      </c>
      <c r="Z251">
        <v>-3.0141990745392491</v>
      </c>
      <c r="AA251">
        <v>5.3835681274408279E-3</v>
      </c>
      <c r="AB251">
        <v>-0.81566263333255451</v>
      </c>
      <c r="AC251">
        <v>3.273731313681652E-4</v>
      </c>
      <c r="AD251">
        <v>-1.0334469496720613</v>
      </c>
      <c r="AE251">
        <v>-0.92826486162455224</v>
      </c>
    </row>
    <row r="252" spans="23:31" x14ac:dyDescent="0.25">
      <c r="W252">
        <v>73.900000000000006</v>
      </c>
      <c r="X252">
        <v>75.049892906380109</v>
      </c>
      <c r="Y252">
        <v>-1.1498929063801029</v>
      </c>
      <c r="Z252">
        <v>-1.1535530060466499</v>
      </c>
      <c r="AA252">
        <v>3.1728924872638578E-3</v>
      </c>
      <c r="AB252">
        <v>-0.3125059532455044</v>
      </c>
      <c r="AC252">
        <v>2.8259171285155318E-5</v>
      </c>
      <c r="AD252">
        <v>-1.0334469496720613</v>
      </c>
      <c r="AE252">
        <v>-0.92206881109929151</v>
      </c>
    </row>
    <row r="253" spans="23:31" x14ac:dyDescent="0.25">
      <c r="W253">
        <v>73.7</v>
      </c>
      <c r="X253">
        <v>74.837547616676787</v>
      </c>
      <c r="Y253">
        <v>-1.1375476166767839</v>
      </c>
      <c r="Z253">
        <v>-1.1409315442663086</v>
      </c>
      <c r="AA253">
        <v>2.9659339392680904E-3</v>
      </c>
      <c r="AB253">
        <v>-0.30911879106904022</v>
      </c>
      <c r="AC253">
        <v>2.5841017119047962E-5</v>
      </c>
      <c r="AD253">
        <v>-1.0334469496720613</v>
      </c>
      <c r="AE253">
        <v>-0.92172598328181188</v>
      </c>
    </row>
    <row r="254" spans="23:31" x14ac:dyDescent="0.25">
      <c r="W254">
        <v>73.400000000000006</v>
      </c>
      <c r="X254">
        <v>74.373727504900558</v>
      </c>
      <c r="Y254">
        <v>-0.97372750490055182</v>
      </c>
      <c r="Z254">
        <v>-0.97686885895033981</v>
      </c>
      <c r="AA254">
        <v>3.215737732868183E-3</v>
      </c>
      <c r="AB254">
        <v>-0.26463523707539566</v>
      </c>
      <c r="AC254">
        <v>2.0539132987117047E-5</v>
      </c>
      <c r="AD254">
        <v>-1.0334469496720613</v>
      </c>
      <c r="AE254">
        <v>-0.92151602016956802</v>
      </c>
    </row>
    <row r="255" spans="23:31" x14ac:dyDescent="0.25">
      <c r="W255">
        <v>73.2</v>
      </c>
      <c r="X255">
        <v>74.054848622943084</v>
      </c>
      <c r="Y255">
        <v>-0.85484862294308073</v>
      </c>
      <c r="Z255">
        <v>-0.85769707239934689</v>
      </c>
      <c r="AA255">
        <v>3.3210436970398881E-3</v>
      </c>
      <c r="AB255">
        <v>-0.23233914781172088</v>
      </c>
      <c r="AC255">
        <v>1.6352019644682482E-5</v>
      </c>
      <c r="AD255">
        <v>-1.0334469496720613</v>
      </c>
      <c r="AE255">
        <v>-0.91971724922476383</v>
      </c>
    </row>
    <row r="256" spans="23:31" x14ac:dyDescent="0.25">
      <c r="W256">
        <v>72.900000000000006</v>
      </c>
      <c r="X256">
        <v>73.656050663480926</v>
      </c>
      <c r="Y256">
        <v>-0.75605066348092009</v>
      </c>
      <c r="Z256">
        <v>-0.75884529739259676</v>
      </c>
      <c r="AA256">
        <v>3.6827452463359697E-3</v>
      </c>
      <c r="AB256">
        <v>-0.20552416527447331</v>
      </c>
      <c r="AC256">
        <v>1.4194076015935739E-5</v>
      </c>
      <c r="AD256">
        <v>-1.0205681915260707</v>
      </c>
      <c r="AE256">
        <v>-0.91674391699301783</v>
      </c>
    </row>
    <row r="257" spans="23:31" x14ac:dyDescent="0.25">
      <c r="W257">
        <v>72.599999999999994</v>
      </c>
      <c r="X257">
        <v>71.43259159497542</v>
      </c>
      <c r="Y257">
        <v>1.1674084050245739</v>
      </c>
      <c r="Z257">
        <v>1.174988795501946</v>
      </c>
      <c r="AA257">
        <v>6.451457670401276E-3</v>
      </c>
      <c r="AB257">
        <v>0.31778916841956217</v>
      </c>
      <c r="AC257">
        <v>5.9614822820682712E-5</v>
      </c>
      <c r="AD257">
        <v>-1.0205681915260707</v>
      </c>
      <c r="AE257">
        <v>-0.91600105740624804</v>
      </c>
    </row>
    <row r="258" spans="23:31" x14ac:dyDescent="0.25">
      <c r="W258">
        <v>72.2</v>
      </c>
      <c r="X258">
        <v>71.311949912410697</v>
      </c>
      <c r="Y258">
        <v>0.88805008758930626</v>
      </c>
      <c r="Z258">
        <v>0.893657816954331</v>
      </c>
      <c r="AA258">
        <v>6.2750297246232951E-3</v>
      </c>
      <c r="AB258">
        <v>0.24172144402591345</v>
      </c>
      <c r="AC258">
        <v>3.3541869074326125E-5</v>
      </c>
      <c r="AD258">
        <v>-1.0205681915260707</v>
      </c>
      <c r="AE258">
        <v>-0.91396465942047922</v>
      </c>
    </row>
    <row r="259" spans="23:31" x14ac:dyDescent="0.25">
      <c r="W259">
        <v>72.099999999999994</v>
      </c>
      <c r="X259">
        <v>75.97293532212872</v>
      </c>
      <c r="Y259">
        <v>-3.8729353221287255</v>
      </c>
      <c r="Z259">
        <v>-3.8894471242692958</v>
      </c>
      <c r="AA259">
        <v>4.2452825846466076E-3</v>
      </c>
      <c r="AB259">
        <v>-1.0531127677056122</v>
      </c>
      <c r="AC259">
        <v>4.2984442910540846E-4</v>
      </c>
      <c r="AD259">
        <v>-1.0205681915260707</v>
      </c>
      <c r="AE259">
        <v>-0.91349966013026374</v>
      </c>
    </row>
    <row r="260" spans="23:31" x14ac:dyDescent="0.25">
      <c r="W260">
        <v>72.2</v>
      </c>
      <c r="X260">
        <v>73.045389807759591</v>
      </c>
      <c r="Y260">
        <v>-0.84538980775958805</v>
      </c>
      <c r="Z260">
        <v>-0.84864448239882506</v>
      </c>
      <c r="AA260">
        <v>3.8351449950341024E-3</v>
      </c>
      <c r="AB260">
        <v>-0.22982762003360066</v>
      </c>
      <c r="AC260">
        <v>1.8486824853994507E-5</v>
      </c>
      <c r="AD260">
        <v>-1.0205681915260707</v>
      </c>
      <c r="AE260">
        <v>-0.91297287333201227</v>
      </c>
    </row>
    <row r="261" spans="23:31" x14ac:dyDescent="0.25">
      <c r="W261">
        <v>72</v>
      </c>
      <c r="X261">
        <v>72.406058709454285</v>
      </c>
      <c r="Y261">
        <v>-0.40605870945428535</v>
      </c>
      <c r="Z261">
        <v>-0.40785203190856123</v>
      </c>
      <c r="AA261">
        <v>4.3969928159635309E-3</v>
      </c>
      <c r="AB261">
        <v>-0.11042223930974428</v>
      </c>
      <c r="AC261">
        <v>4.8954201547165312E-6</v>
      </c>
      <c r="AD261">
        <v>-1.0205681915260707</v>
      </c>
      <c r="AE261">
        <v>-0.90651830573250614</v>
      </c>
    </row>
    <row r="262" spans="23:31" x14ac:dyDescent="0.25">
      <c r="W262">
        <v>71.8</v>
      </c>
      <c r="X262">
        <v>72.314440662679146</v>
      </c>
      <c r="Y262">
        <v>-0.51444066267914934</v>
      </c>
      <c r="Z262">
        <v>-0.51628606084062767</v>
      </c>
      <c r="AA262">
        <v>3.5743714608136223E-3</v>
      </c>
      <c r="AB262">
        <v>-0.13983750428322356</v>
      </c>
      <c r="AC262">
        <v>6.3768975276225124E-6</v>
      </c>
      <c r="AD262">
        <v>-1.0205681915260707</v>
      </c>
      <c r="AE262">
        <v>-0.90202484433664321</v>
      </c>
    </row>
    <row r="263" spans="23:31" x14ac:dyDescent="0.25">
      <c r="W263">
        <v>71.599999999999994</v>
      </c>
      <c r="X263">
        <v>74.6972896980229</v>
      </c>
      <c r="Y263">
        <v>-3.0972896980229052</v>
      </c>
      <c r="Z263">
        <v>-3.1128858664804824</v>
      </c>
      <c r="AA263">
        <v>5.0101960452580072E-3</v>
      </c>
      <c r="AB263">
        <v>-0.84252604064924219</v>
      </c>
      <c r="AC263">
        <v>3.2494515802784806E-4</v>
      </c>
      <c r="AD263">
        <v>-1.0028172174115717</v>
      </c>
      <c r="AE263">
        <v>-0.90078056272123486</v>
      </c>
    </row>
    <row r="264" spans="23:31" x14ac:dyDescent="0.25">
      <c r="W264">
        <v>71.099999999999994</v>
      </c>
      <c r="X264">
        <v>72.005876167993364</v>
      </c>
      <c r="Y264">
        <v>-0.90587616799336956</v>
      </c>
      <c r="Z264">
        <v>-0.90865595278918931</v>
      </c>
      <c r="AA264">
        <v>3.0592269684520459E-3</v>
      </c>
      <c r="AB264">
        <v>-0.24617558306317933</v>
      </c>
      <c r="AC264">
        <v>1.6905951011308123E-5</v>
      </c>
      <c r="AD264">
        <v>-1.0028172174115717</v>
      </c>
      <c r="AE264">
        <v>-0.89651918289179255</v>
      </c>
    </row>
    <row r="265" spans="23:31" x14ac:dyDescent="0.25">
      <c r="W265">
        <v>59.3</v>
      </c>
      <c r="X265">
        <v>60.992637607365374</v>
      </c>
      <c r="Y265">
        <v>-1.6926376073653771</v>
      </c>
      <c r="Z265">
        <v>-1.6980031266269862</v>
      </c>
      <c r="AA265">
        <v>3.1598995181274141E-3</v>
      </c>
      <c r="AB265">
        <v>-0.46000447413290041</v>
      </c>
      <c r="AC265">
        <v>6.0978845650859001E-5</v>
      </c>
      <c r="AD265">
        <v>-1.0028172174115717</v>
      </c>
      <c r="AE265">
        <v>-0.89572167612872211</v>
      </c>
    </row>
    <row r="266" spans="23:31" x14ac:dyDescent="0.25">
      <c r="W266">
        <v>59</v>
      </c>
      <c r="X266">
        <v>64.644759652110437</v>
      </c>
      <c r="Y266">
        <v>-5.6447596521104373</v>
      </c>
      <c r="Z266">
        <v>-5.6854095324533773</v>
      </c>
      <c r="AA266">
        <v>7.1498596734149815E-3</v>
      </c>
      <c r="AB266">
        <v>-1.5371435395565634</v>
      </c>
      <c r="AC266">
        <v>1.5468563332163786E-3</v>
      </c>
      <c r="AD266">
        <v>-1.0028172174115717</v>
      </c>
      <c r="AE266">
        <v>-0.89314844713969632</v>
      </c>
    </row>
    <row r="267" spans="23:31" x14ac:dyDescent="0.25">
      <c r="W267">
        <v>58.6</v>
      </c>
      <c r="X267">
        <v>58.034070151777193</v>
      </c>
      <c r="Y267">
        <v>0.56592984822280812</v>
      </c>
      <c r="Z267">
        <v>0.57203818578527432</v>
      </c>
      <c r="AA267">
        <v>1.0678198963376238E-2</v>
      </c>
      <c r="AB267">
        <v>0.15438483229591399</v>
      </c>
      <c r="AC267">
        <v>2.3387134041978941E-5</v>
      </c>
      <c r="AD267">
        <v>-1.0028172174115717</v>
      </c>
      <c r="AE267">
        <v>-0.89039491677536586</v>
      </c>
    </row>
    <row r="268" spans="23:31" x14ac:dyDescent="0.25">
      <c r="W268">
        <v>58.1</v>
      </c>
      <c r="X268">
        <v>59.141464167711476</v>
      </c>
      <c r="Y268">
        <v>-1.0414641677114744</v>
      </c>
      <c r="Z268">
        <v>-1.0471476435517673</v>
      </c>
      <c r="AA268">
        <v>5.4275783126594701E-3</v>
      </c>
      <c r="AB268">
        <v>-0.28335895751843959</v>
      </c>
      <c r="AC268">
        <v>3.9833722436433643E-5</v>
      </c>
      <c r="AD268">
        <v>-0.99032898964496086</v>
      </c>
      <c r="AE268">
        <v>-0.88889078447060366</v>
      </c>
    </row>
    <row r="269" spans="23:31" x14ac:dyDescent="0.25">
      <c r="W269">
        <v>57.5</v>
      </c>
      <c r="X269">
        <v>58.645177676627412</v>
      </c>
      <c r="Y269">
        <v>-1.1451776766274122</v>
      </c>
      <c r="Z269">
        <v>-1.1528157559195762</v>
      </c>
      <c r="AA269">
        <v>6.6255854441113855E-3</v>
      </c>
      <c r="AB269">
        <v>-0.31176489276966496</v>
      </c>
      <c r="AC269">
        <v>5.8934963776750872E-5</v>
      </c>
      <c r="AD269">
        <v>-0.99032898964496086</v>
      </c>
      <c r="AE269">
        <v>-0.88770186082204028</v>
      </c>
    </row>
    <row r="270" spans="23:31" x14ac:dyDescent="0.25">
      <c r="W270">
        <v>56.9</v>
      </c>
      <c r="X270">
        <v>58.075352935002421</v>
      </c>
      <c r="Y270">
        <v>-1.1753529350024223</v>
      </c>
      <c r="Z270">
        <v>-1.1842774674816283</v>
      </c>
      <c r="AA270">
        <v>7.5358458843141412E-3</v>
      </c>
      <c r="AB270">
        <v>-0.3201265551526703</v>
      </c>
      <c r="AC270">
        <v>7.0740462617738012E-5</v>
      </c>
      <c r="AD270">
        <v>-0.99032898964496086</v>
      </c>
      <c r="AE270">
        <v>-0.8834489410503964</v>
      </c>
    </row>
    <row r="271" spans="23:31" x14ac:dyDescent="0.25">
      <c r="W271">
        <v>56.1</v>
      </c>
      <c r="X271">
        <v>57.201261595165356</v>
      </c>
      <c r="Y271">
        <v>-1.1012615951653544</v>
      </c>
      <c r="Z271">
        <v>-1.1103256064354028</v>
      </c>
      <c r="AA271">
        <v>8.163381279791675E-3</v>
      </c>
      <c r="AB271">
        <v>-0.30004144262851834</v>
      </c>
      <c r="AC271">
        <v>6.7359638446827419E-5</v>
      </c>
      <c r="AD271">
        <v>-0.99032898964496086</v>
      </c>
      <c r="AE271">
        <v>-0.87885189037186406</v>
      </c>
    </row>
    <row r="272" spans="23:31" x14ac:dyDescent="0.25">
      <c r="W272">
        <v>55.3</v>
      </c>
      <c r="X272">
        <v>56.302647193681445</v>
      </c>
      <c r="Y272">
        <v>-1.0026471936814474</v>
      </c>
      <c r="Z272">
        <v>-1.0116820716207684</v>
      </c>
      <c r="AA272">
        <v>8.9305506075093681E-3</v>
      </c>
      <c r="AB272">
        <v>-0.27327941429856056</v>
      </c>
      <c r="AC272">
        <v>6.1178003263811275E-5</v>
      </c>
      <c r="AD272">
        <v>-0.98044852568054008</v>
      </c>
      <c r="AE272">
        <v>-0.8778462071368125</v>
      </c>
    </row>
    <row r="273" spans="23:31" x14ac:dyDescent="0.25">
      <c r="W273">
        <v>54.3</v>
      </c>
      <c r="X273">
        <v>60.508744128794298</v>
      </c>
      <c r="Y273">
        <v>-6.2087441287943008</v>
      </c>
      <c r="Z273">
        <v>-6.2921764385855425</v>
      </c>
      <c r="AA273">
        <v>1.3259690125599509E-2</v>
      </c>
      <c r="AB273">
        <v>-1.6959504023171734</v>
      </c>
      <c r="AC273">
        <v>3.5136954323059123E-3</v>
      </c>
      <c r="AD273">
        <v>-0.98044852568054008</v>
      </c>
      <c r="AE273">
        <v>-0.87725737493405798</v>
      </c>
    </row>
    <row r="274" spans="23:31" x14ac:dyDescent="0.25">
      <c r="W274">
        <v>59.1</v>
      </c>
      <c r="X274">
        <v>63.474187554514785</v>
      </c>
      <c r="Y274">
        <v>-4.3741875545147835</v>
      </c>
      <c r="Z274">
        <v>-4.3935232029194395</v>
      </c>
      <c r="AA274">
        <v>4.400943732767032E-3</v>
      </c>
      <c r="AB274">
        <v>-1.1895042073046043</v>
      </c>
      <c r="AC274">
        <v>5.6859183586481553E-4</v>
      </c>
      <c r="AD274">
        <v>-0.97554401628441823</v>
      </c>
      <c r="AE274">
        <v>-0.87644249482212333</v>
      </c>
    </row>
    <row r="275" spans="23:31" x14ac:dyDescent="0.25">
      <c r="W275">
        <v>58.6</v>
      </c>
      <c r="X275">
        <v>68.021737149948621</v>
      </c>
      <c r="Y275">
        <v>-9.4217371499486191</v>
      </c>
      <c r="Z275">
        <v>-9.4784323554497618</v>
      </c>
      <c r="AA275">
        <v>5.9814960296203333E-3</v>
      </c>
      <c r="AB275">
        <v>-2.5641567437080162</v>
      </c>
      <c r="AC275">
        <v>3.5967628487497075E-3</v>
      </c>
      <c r="AD275">
        <v>-0.97554401628441823</v>
      </c>
      <c r="AE275">
        <v>-0.87261906426304103</v>
      </c>
    </row>
    <row r="276" spans="23:31" x14ac:dyDescent="0.25">
      <c r="W276">
        <v>58</v>
      </c>
      <c r="X276">
        <v>62.614343162738166</v>
      </c>
      <c r="Y276">
        <v>-4.6143431627381659</v>
      </c>
      <c r="Z276">
        <v>-4.6372652224486188</v>
      </c>
      <c r="AA276">
        <v>4.9430124461046906E-3</v>
      </c>
      <c r="AB276">
        <v>-1.2551531849418831</v>
      </c>
      <c r="AC276">
        <v>7.1145023952999705E-4</v>
      </c>
      <c r="AD276">
        <v>-0.97554401628441823</v>
      </c>
      <c r="AE276">
        <v>-0.86381408258179293</v>
      </c>
    </row>
    <row r="277" spans="23:31" x14ac:dyDescent="0.25">
      <c r="W277">
        <v>57.4</v>
      </c>
      <c r="X277">
        <v>61.469463862471024</v>
      </c>
      <c r="Y277">
        <v>-4.0694638624710251</v>
      </c>
      <c r="Z277">
        <v>-4.0897406286632219</v>
      </c>
      <c r="AA277">
        <v>4.9579589595700937E-3</v>
      </c>
      <c r="AB277">
        <v>-1.1069482068849326</v>
      </c>
      <c r="AC277">
        <v>5.5503889034900307E-4</v>
      </c>
      <c r="AD277">
        <v>-0.96823093621551704</v>
      </c>
      <c r="AE277">
        <v>-0.86015233286148052</v>
      </c>
    </row>
    <row r="278" spans="23:31" x14ac:dyDescent="0.25">
      <c r="W278">
        <v>56.8</v>
      </c>
      <c r="X278">
        <v>65.714557646177823</v>
      </c>
      <c r="Y278">
        <v>-8.9145576461778262</v>
      </c>
      <c r="Z278">
        <v>-8.9818291834947246</v>
      </c>
      <c r="AA278">
        <v>7.4897368834981361E-3</v>
      </c>
      <c r="AB278">
        <v>-2.4279688722536501</v>
      </c>
      <c r="AC278">
        <v>4.0441299168066727E-3</v>
      </c>
      <c r="AD278">
        <v>-0.96823093621551704</v>
      </c>
      <c r="AE278">
        <v>-0.8599673177485776</v>
      </c>
    </row>
    <row r="279" spans="23:31" x14ac:dyDescent="0.25">
      <c r="W279">
        <v>56.2</v>
      </c>
      <c r="X279">
        <v>58.868313160357864</v>
      </c>
      <c r="Y279">
        <v>-2.6683131603578616</v>
      </c>
      <c r="Z279">
        <v>-2.6806656625686358</v>
      </c>
      <c r="AA279">
        <v>4.6079980742322977E-3</v>
      </c>
      <c r="AB279">
        <v>-0.72568900788854673</v>
      </c>
      <c r="AC279">
        <v>2.2162897941178266E-4</v>
      </c>
      <c r="AD279">
        <v>-0.96823093621551704</v>
      </c>
      <c r="AE279">
        <v>-0.85365203122897859</v>
      </c>
    </row>
    <row r="280" spans="23:31" x14ac:dyDescent="0.25">
      <c r="W280">
        <v>55.3</v>
      </c>
      <c r="X280">
        <v>63.293898690533339</v>
      </c>
      <c r="Y280">
        <v>-7.9938986905333422</v>
      </c>
      <c r="Z280">
        <v>-8.0621486485245342</v>
      </c>
      <c r="AA280">
        <v>8.4654799814044522E-3</v>
      </c>
      <c r="AB280">
        <v>-2.1782892123016748</v>
      </c>
      <c r="AC280">
        <v>3.6828340061220463E-3</v>
      </c>
      <c r="AD280">
        <v>-0.96823093621551704</v>
      </c>
      <c r="AE280">
        <v>-0.85047508084481405</v>
      </c>
    </row>
    <row r="281" spans="23:31" x14ac:dyDescent="0.25">
      <c r="W281">
        <v>54.8</v>
      </c>
      <c r="X281">
        <v>56.172301981358011</v>
      </c>
      <c r="Y281">
        <v>-1.3723019813580137</v>
      </c>
      <c r="Z281">
        <v>-1.3835393083238614</v>
      </c>
      <c r="AA281">
        <v>8.1221595210470288E-3</v>
      </c>
      <c r="AB281">
        <v>-0.37387929621535504</v>
      </c>
      <c r="AC281">
        <v>1.0405991694577334E-4</v>
      </c>
      <c r="AD281">
        <v>-0.96823093621551704</v>
      </c>
      <c r="AE281">
        <v>-0.84698149019226898</v>
      </c>
    </row>
    <row r="282" spans="23:31" x14ac:dyDescent="0.25">
      <c r="W282">
        <v>54.1</v>
      </c>
      <c r="X282">
        <v>55.059333077310434</v>
      </c>
      <c r="Y282">
        <v>-0.95933307731043271</v>
      </c>
      <c r="Z282">
        <v>-0.97112739331985409</v>
      </c>
      <c r="AA282">
        <v>1.2144973039117457E-2</v>
      </c>
      <c r="AB282">
        <v>-0.26189887440008475</v>
      </c>
      <c r="AC282">
        <v>7.6661607117916707E-5</v>
      </c>
      <c r="AD282">
        <v>-0.95615619123390583</v>
      </c>
      <c r="AE282">
        <v>-0.84307117033003598</v>
      </c>
    </row>
    <row r="283" spans="23:31" x14ac:dyDescent="0.25">
      <c r="W283">
        <v>53.4</v>
      </c>
      <c r="X283">
        <v>54.028361048337821</v>
      </c>
      <c r="Y283">
        <v>-0.62836104833782258</v>
      </c>
      <c r="Z283">
        <v>-0.63521590442313425</v>
      </c>
      <c r="AA283">
        <v>1.0791379808947999E-2</v>
      </c>
      <c r="AB283">
        <v>-0.17142577813751378</v>
      </c>
      <c r="AC283">
        <v>2.9143966541220261E-5</v>
      </c>
      <c r="AD283">
        <v>-0.95615619123390583</v>
      </c>
      <c r="AE283">
        <v>-0.84252604064924219</v>
      </c>
    </row>
    <row r="284" spans="23:31" x14ac:dyDescent="0.25">
      <c r="W284">
        <v>52.6</v>
      </c>
      <c r="X284">
        <v>52.897909850709269</v>
      </c>
      <c r="Y284">
        <v>-0.29790985070926723</v>
      </c>
      <c r="Z284">
        <v>-0.30068253946885193</v>
      </c>
      <c r="AA284">
        <v>9.2213161578420799E-3</v>
      </c>
      <c r="AB284">
        <v>-8.1209597259793861E-2</v>
      </c>
      <c r="AC284">
        <v>5.5800525151728006E-6</v>
      </c>
      <c r="AD284">
        <v>-0.95615619123390583</v>
      </c>
      <c r="AE284">
        <v>-0.84118470163684678</v>
      </c>
    </row>
    <row r="285" spans="23:31" x14ac:dyDescent="0.25">
      <c r="W285">
        <v>73</v>
      </c>
      <c r="X285">
        <v>71.625665240465892</v>
      </c>
      <c r="Y285">
        <v>1.3743347595341078</v>
      </c>
      <c r="Z285">
        <v>1.3835055293497618</v>
      </c>
      <c r="AA285">
        <v>6.6286470282197821E-3</v>
      </c>
      <c r="AB285">
        <v>0.37415153818863567</v>
      </c>
      <c r="AC285">
        <v>8.4921107027809245E-5</v>
      </c>
      <c r="AD285">
        <v>-0.94897780985887348</v>
      </c>
      <c r="AE285">
        <v>-0.83889373191722805</v>
      </c>
    </row>
    <row r="286" spans="23:31" x14ac:dyDescent="0.25">
      <c r="W286">
        <v>72.8</v>
      </c>
      <c r="X286">
        <v>74.493259735994954</v>
      </c>
      <c r="Y286">
        <v>-1.6932597359949568</v>
      </c>
      <c r="Z286">
        <v>-1.7011729717229969</v>
      </c>
      <c r="AA286">
        <v>4.6516349951351175E-3</v>
      </c>
      <c r="AB286">
        <v>-0.46051825222520049</v>
      </c>
      <c r="AC286">
        <v>9.0101398537070895E-5</v>
      </c>
      <c r="AD286">
        <v>-0.94897780985887348</v>
      </c>
      <c r="AE286">
        <v>-0.83535652317884956</v>
      </c>
    </row>
    <row r="287" spans="23:31" x14ac:dyDescent="0.25">
      <c r="W287">
        <v>72.7</v>
      </c>
      <c r="X287">
        <v>71.916878167232227</v>
      </c>
      <c r="Y287">
        <v>0.78312183276777603</v>
      </c>
      <c r="Z287">
        <v>0.78565169769629506</v>
      </c>
      <c r="AA287">
        <v>3.2200845946536152E-3</v>
      </c>
      <c r="AB287">
        <v>0.2128337576071144</v>
      </c>
      <c r="AC287">
        <v>1.33032068113778E-5</v>
      </c>
      <c r="AD287">
        <v>-0.94897780985887348</v>
      </c>
      <c r="AE287">
        <v>-0.83278674551151022</v>
      </c>
    </row>
    <row r="288" spans="23:31" x14ac:dyDescent="0.25">
      <c r="W288">
        <v>72.599999999999994</v>
      </c>
      <c r="X288">
        <v>69.410011776833315</v>
      </c>
      <c r="Y288">
        <v>3.1899882231666794</v>
      </c>
      <c r="Z288">
        <v>3.2265618745515354</v>
      </c>
      <c r="AA288">
        <v>1.1335177444856868E-2</v>
      </c>
      <c r="AB288">
        <v>0.87051319576923059</v>
      </c>
      <c r="AC288">
        <v>7.8983663483051783E-4</v>
      </c>
      <c r="AD288">
        <v>-0.94897780985887348</v>
      </c>
      <c r="AE288">
        <v>-0.83262348717882484</v>
      </c>
    </row>
    <row r="289" spans="23:31" x14ac:dyDescent="0.25">
      <c r="W289">
        <v>72.5</v>
      </c>
      <c r="X289">
        <v>71.020593014715359</v>
      </c>
      <c r="Y289">
        <v>1.4794069852846405</v>
      </c>
      <c r="Z289">
        <v>1.4819500564814234</v>
      </c>
      <c r="AA289">
        <v>1.7160302978254055E-3</v>
      </c>
      <c r="AB289">
        <v>0.4017643858255377</v>
      </c>
      <c r="AC289">
        <v>2.5224411434240753E-5</v>
      </c>
      <c r="AD289">
        <v>-0.94897780985887348</v>
      </c>
      <c r="AE289">
        <v>-0.83169381759078287</v>
      </c>
    </row>
    <row r="290" spans="23:31" x14ac:dyDescent="0.25">
      <c r="W290">
        <v>72.400000000000006</v>
      </c>
      <c r="X290">
        <v>70.647473385569214</v>
      </c>
      <c r="Y290">
        <v>1.7525266144307921</v>
      </c>
      <c r="Z290">
        <v>1.7558093286693435</v>
      </c>
      <c r="AA290">
        <v>1.8696302525295838E-3</v>
      </c>
      <c r="AB290">
        <v>0.47597244042845599</v>
      </c>
      <c r="AC290">
        <v>3.8577971321035356E-5</v>
      </c>
      <c r="AD290">
        <v>-0.93712127394454381</v>
      </c>
      <c r="AE290">
        <v>-0.83106688641643034</v>
      </c>
    </row>
    <row r="291" spans="23:31" x14ac:dyDescent="0.25">
      <c r="W291">
        <v>72.400000000000006</v>
      </c>
      <c r="X291">
        <v>70.394335541168914</v>
      </c>
      <c r="Y291">
        <v>2.0056644588310917</v>
      </c>
      <c r="Z291">
        <v>2.0096632603658549</v>
      </c>
      <c r="AA291">
        <v>1.9897868531653707E-3</v>
      </c>
      <c r="AB291">
        <v>0.54475547767257815</v>
      </c>
      <c r="AC291">
        <v>5.3787591520889811E-5</v>
      </c>
      <c r="AD291">
        <v>-0.93712127394454381</v>
      </c>
      <c r="AE291">
        <v>-0.83073342345357659</v>
      </c>
    </row>
    <row r="292" spans="23:31" x14ac:dyDescent="0.25">
      <c r="W292">
        <v>72.3</v>
      </c>
      <c r="X292">
        <v>69.720995021346724</v>
      </c>
      <c r="Y292">
        <v>2.5790049786532734</v>
      </c>
      <c r="Z292">
        <v>2.5840725403368623</v>
      </c>
      <c r="AA292">
        <v>1.9610756294493555E-3</v>
      </c>
      <c r="AB292">
        <v>0.70046954988764432</v>
      </c>
      <c r="AC292">
        <v>8.7646120924533957E-5</v>
      </c>
      <c r="AD292">
        <v>-0.93241539434320697</v>
      </c>
      <c r="AE292">
        <v>-0.83044847845828462</v>
      </c>
    </row>
    <row r="293" spans="23:31" x14ac:dyDescent="0.25">
      <c r="W293">
        <v>72.099999999999994</v>
      </c>
      <c r="X293">
        <v>69.545213048324086</v>
      </c>
      <c r="Y293">
        <v>2.5547869516759079</v>
      </c>
      <c r="Z293">
        <v>2.5588943859062567</v>
      </c>
      <c r="AA293">
        <v>1.6051597334283078E-3</v>
      </c>
      <c r="AB293">
        <v>0.69376812985573233</v>
      </c>
      <c r="AC293">
        <v>7.0348029084137806E-5</v>
      </c>
      <c r="AD293">
        <v>-0.93241539434320697</v>
      </c>
      <c r="AE293">
        <v>-0.82855263659230849</v>
      </c>
    </row>
    <row r="294" spans="23:31" x14ac:dyDescent="0.25">
      <c r="W294">
        <v>71.8</v>
      </c>
      <c r="X294">
        <v>68.501459506410569</v>
      </c>
      <c r="Y294">
        <v>3.298540493589428</v>
      </c>
      <c r="Z294">
        <v>3.304045312354944</v>
      </c>
      <c r="AA294">
        <v>1.6660845252122916E-3</v>
      </c>
      <c r="AB294">
        <v>0.89576631589085087</v>
      </c>
      <c r="AC294">
        <v>1.2173570492087654E-4</v>
      </c>
      <c r="AD294">
        <v>-0.9277300733017374</v>
      </c>
      <c r="AE294">
        <v>-0.82850800302526317</v>
      </c>
    </row>
    <row r="295" spans="23:31" x14ac:dyDescent="0.25">
      <c r="W295">
        <v>71.400000000000006</v>
      </c>
      <c r="X295">
        <v>70.60011437881731</v>
      </c>
      <c r="Y295">
        <v>0.79988562118269613</v>
      </c>
      <c r="Z295">
        <v>0.80251091073139946</v>
      </c>
      <c r="AA295">
        <v>3.2713443687763903E-3</v>
      </c>
      <c r="AB295">
        <v>0.2173953436787058</v>
      </c>
      <c r="AC295">
        <v>1.410123369954669E-5</v>
      </c>
      <c r="AD295">
        <v>-0.9277300733017374</v>
      </c>
      <c r="AE295">
        <v>-0.82106843216192582</v>
      </c>
    </row>
    <row r="296" spans="23:31" x14ac:dyDescent="0.25">
      <c r="W296">
        <v>71.099999999999994</v>
      </c>
      <c r="X296">
        <v>68.269512764205786</v>
      </c>
      <c r="Y296">
        <v>2.8304872357942088</v>
      </c>
      <c r="Z296">
        <v>2.8347384164485021</v>
      </c>
      <c r="AA296">
        <v>1.4996729961464488E-3</v>
      </c>
      <c r="AB296">
        <v>0.76859563742565951</v>
      </c>
      <c r="AC296">
        <v>8.0658753280759315E-5</v>
      </c>
      <c r="AD296">
        <v>-0.9277300733017374</v>
      </c>
      <c r="AE296">
        <v>-0.81761807156768584</v>
      </c>
    </row>
    <row r="297" spans="23:31" x14ac:dyDescent="0.25">
      <c r="W297">
        <v>77</v>
      </c>
      <c r="X297">
        <v>68.184342733168862</v>
      </c>
      <c r="Y297">
        <v>8.8156572668311384</v>
      </c>
      <c r="Z297">
        <v>8.8284418535970985</v>
      </c>
      <c r="AA297">
        <v>1.4481136057725304E-3</v>
      </c>
      <c r="AB297">
        <v>2.3937577602240774</v>
      </c>
      <c r="AC297">
        <v>7.5543953759305384E-4</v>
      </c>
      <c r="AD297">
        <v>-0.9277300733017374</v>
      </c>
      <c r="AE297">
        <v>-0.81566263333255451</v>
      </c>
    </row>
    <row r="298" spans="23:31" x14ac:dyDescent="0.25">
      <c r="W298">
        <v>68.3</v>
      </c>
      <c r="X298">
        <v>67.449785245438846</v>
      </c>
      <c r="Y298">
        <v>0.8502147545611507</v>
      </c>
      <c r="Z298">
        <v>0.85203497332227585</v>
      </c>
      <c r="AA298">
        <v>2.1363193039193049E-3</v>
      </c>
      <c r="AB298">
        <v>0.23094249291230939</v>
      </c>
      <c r="AC298">
        <v>1.0380301376727152E-5</v>
      </c>
      <c r="AD298">
        <v>-0.91841998904288702</v>
      </c>
      <c r="AE298">
        <v>-0.81131952567253662</v>
      </c>
    </row>
    <row r="299" spans="23:31" x14ac:dyDescent="0.25">
      <c r="W299">
        <v>67.8</v>
      </c>
      <c r="X299">
        <v>67.091104635626394</v>
      </c>
      <c r="Y299">
        <v>0.70889536437360334</v>
      </c>
      <c r="Z299">
        <v>0.71040791103463619</v>
      </c>
      <c r="AA299">
        <v>2.1291241799776027E-3</v>
      </c>
      <c r="AB299">
        <v>0.19255543561779725</v>
      </c>
      <c r="AC299">
        <v>7.1919312167745873E-6</v>
      </c>
      <c r="AD299">
        <v>-0.91841998904288702</v>
      </c>
      <c r="AE299">
        <v>-0.80638682407926854</v>
      </c>
    </row>
    <row r="300" spans="23:31" x14ac:dyDescent="0.25">
      <c r="W300">
        <v>67.400000000000006</v>
      </c>
      <c r="X300">
        <v>66.898643012930336</v>
      </c>
      <c r="Y300">
        <v>0.50135698706966991</v>
      </c>
      <c r="Z300">
        <v>0.50246916555862242</v>
      </c>
      <c r="AA300">
        <v>2.2134263456996561E-3</v>
      </c>
      <c r="AB300">
        <v>0.13618806958237351</v>
      </c>
      <c r="AC300">
        <v>3.7403553320470124E-6</v>
      </c>
      <c r="AD300">
        <v>-0.91841998904288702</v>
      </c>
      <c r="AE300">
        <v>-0.80012329714755337</v>
      </c>
    </row>
    <row r="301" spans="23:31" x14ac:dyDescent="0.25">
      <c r="W301">
        <v>67</v>
      </c>
      <c r="X301">
        <v>69.653556511667517</v>
      </c>
      <c r="Y301">
        <v>-2.6535565116675173</v>
      </c>
      <c r="Z301">
        <v>-2.6630014183973429</v>
      </c>
      <c r="AA301">
        <v>3.5467148701394903E-3</v>
      </c>
      <c r="AB301">
        <v>-0.72129129259331382</v>
      </c>
      <c r="AC301">
        <v>1.6834414885672622E-4</v>
      </c>
      <c r="AD301">
        <v>-0.91148934236618206</v>
      </c>
      <c r="AE301">
        <v>-0.79965992783339901</v>
      </c>
    </row>
    <row r="302" spans="23:31" x14ac:dyDescent="0.25">
      <c r="W302">
        <v>66.599999999999994</v>
      </c>
      <c r="X302">
        <v>66.201293136373621</v>
      </c>
      <c r="Y302">
        <v>0.39870686362637286</v>
      </c>
      <c r="Z302">
        <v>0.39941764855250028</v>
      </c>
      <c r="AA302">
        <v>1.7795531286838298E-3</v>
      </c>
      <c r="AB302">
        <v>0.10828076148933442</v>
      </c>
      <c r="AC302">
        <v>1.9001785638872718E-6</v>
      </c>
      <c r="AD302">
        <v>-0.91148934236618206</v>
      </c>
      <c r="AE302">
        <v>-0.79811679492809384</v>
      </c>
    </row>
    <row r="303" spans="23:31" x14ac:dyDescent="0.25">
      <c r="W303">
        <v>66.099999999999994</v>
      </c>
      <c r="X303">
        <v>66.140246867607232</v>
      </c>
      <c r="Y303">
        <v>-4.0246867607237391E-2</v>
      </c>
      <c r="Z303">
        <v>-4.0328554425144603E-2</v>
      </c>
      <c r="AA303">
        <v>2.0255330018764698E-3</v>
      </c>
      <c r="AB303">
        <v>-1.0931586360476933E-2</v>
      </c>
      <c r="AC303">
        <v>2.2049238161618245E-8</v>
      </c>
      <c r="AD303">
        <v>-0.91148934236618206</v>
      </c>
      <c r="AE303">
        <v>-0.79610957375626423</v>
      </c>
    </row>
    <row r="304" spans="23:31" x14ac:dyDescent="0.25">
      <c r="W304">
        <v>65.599999999999994</v>
      </c>
      <c r="X304">
        <v>65.774120167049773</v>
      </c>
      <c r="Y304">
        <v>-0.17412016704977873</v>
      </c>
      <c r="Z304">
        <v>-0.17444699893556503</v>
      </c>
      <c r="AA304">
        <v>1.873531145700047E-3</v>
      </c>
      <c r="AB304">
        <v>-4.7289759884567205E-2</v>
      </c>
      <c r="AC304">
        <v>3.8160747857361706E-7</v>
      </c>
      <c r="AD304">
        <v>-0.90460220385671419</v>
      </c>
      <c r="AE304">
        <v>-0.79537692773869706</v>
      </c>
    </row>
    <row r="305" spans="23:31" x14ac:dyDescent="0.25">
      <c r="W305">
        <v>65</v>
      </c>
      <c r="X305">
        <v>68.176763699524372</v>
      </c>
      <c r="Y305">
        <v>-3.176763699524372</v>
      </c>
      <c r="Z305">
        <v>-3.1903182515702042</v>
      </c>
      <c r="AA305">
        <v>4.2486520080425982E-3</v>
      </c>
      <c r="AB305">
        <v>-0.86381408258179293</v>
      </c>
      <c r="AC305">
        <v>2.8943305777806512E-4</v>
      </c>
      <c r="AD305">
        <v>-0.90460220385671419</v>
      </c>
      <c r="AE305">
        <v>-0.79406691161555221</v>
      </c>
    </row>
    <row r="306" spans="23:31" x14ac:dyDescent="0.25">
      <c r="W306">
        <v>64.099999999999994</v>
      </c>
      <c r="X306">
        <v>62.732990047339605</v>
      </c>
      <c r="Y306">
        <v>1.3670099526603892</v>
      </c>
      <c r="Z306">
        <v>1.3805199400002763</v>
      </c>
      <c r="AA306">
        <v>9.7861587858581647E-3</v>
      </c>
      <c r="AB306">
        <v>0.37275029877493909</v>
      </c>
      <c r="AC306">
        <v>1.2483218746968958E-4</v>
      </c>
      <c r="AD306">
        <v>-0.90460220385671419</v>
      </c>
      <c r="AE306">
        <v>-0.79119263524152439</v>
      </c>
    </row>
    <row r="307" spans="23:31" x14ac:dyDescent="0.25">
      <c r="W307">
        <v>56.7</v>
      </c>
      <c r="X307">
        <v>61.710423556243242</v>
      </c>
      <c r="Y307">
        <v>-5.0104235562432393</v>
      </c>
      <c r="Z307">
        <v>-5.0282606336701647</v>
      </c>
      <c r="AA307">
        <v>3.5473653269854875E-3</v>
      </c>
      <c r="AB307">
        <v>-1.3619367241600902</v>
      </c>
      <c r="AC307">
        <v>6.0030288855524039E-4</v>
      </c>
      <c r="AD307">
        <v>-0.90460220385671419</v>
      </c>
      <c r="AE307">
        <v>-0.78716018133165044</v>
      </c>
    </row>
    <row r="308" spans="23:31" x14ac:dyDescent="0.25">
      <c r="W308">
        <v>56.4</v>
      </c>
      <c r="X308">
        <v>61.58208233498992</v>
      </c>
      <c r="Y308">
        <v>-5.1820823349899214</v>
      </c>
      <c r="Z308">
        <v>-5.200168831533567</v>
      </c>
      <c r="AA308">
        <v>3.4780594879858916E-3</v>
      </c>
      <c r="AB308">
        <v>-1.4085481464296101</v>
      </c>
      <c r="AC308">
        <v>6.2950741278351751E-4</v>
      </c>
      <c r="AD308">
        <v>-0.90460220385671419</v>
      </c>
      <c r="AE308">
        <v>-0.78425567608224867</v>
      </c>
    </row>
    <row r="309" spans="23:31" x14ac:dyDescent="0.25">
      <c r="W309">
        <v>55.9</v>
      </c>
      <c r="X309">
        <v>61.065639954753095</v>
      </c>
      <c r="Y309">
        <v>-5.1656399547530967</v>
      </c>
      <c r="Z309">
        <v>-5.1831444496836454</v>
      </c>
      <c r="AA309">
        <v>3.3771960439215156E-3</v>
      </c>
      <c r="AB309">
        <v>-1.4040078710532859</v>
      </c>
      <c r="AC309">
        <v>6.072560517932906E-4</v>
      </c>
      <c r="AD309">
        <v>-0.90460220385671419</v>
      </c>
      <c r="AE309">
        <v>-0.78327126739067887</v>
      </c>
    </row>
    <row r="310" spans="23:31" x14ac:dyDescent="0.25">
      <c r="W310">
        <v>55.6</v>
      </c>
      <c r="X310">
        <v>59.731993369737353</v>
      </c>
      <c r="Y310">
        <v>-4.1319933697373514</v>
      </c>
      <c r="Z310">
        <v>-4.1460598573791216</v>
      </c>
      <c r="AA310">
        <v>3.3927362666356037E-3</v>
      </c>
      <c r="AB310">
        <v>-1.1230741003033491</v>
      </c>
      <c r="AC310">
        <v>3.9034641192770605E-4</v>
      </c>
      <c r="AD310">
        <v>-0.89095501331493132</v>
      </c>
      <c r="AE310">
        <v>-0.78219849361021421</v>
      </c>
    </row>
    <row r="311" spans="23:31" x14ac:dyDescent="0.25">
      <c r="W311">
        <v>55.3</v>
      </c>
      <c r="X311">
        <v>65.299323437212919</v>
      </c>
      <c r="Y311">
        <v>-9.9993234372129223</v>
      </c>
      <c r="Z311">
        <v>-10.052964564338581</v>
      </c>
      <c r="AA311">
        <v>5.3358516069917199E-3</v>
      </c>
      <c r="AB311">
        <v>-2.7204653829205996</v>
      </c>
      <c r="AC311">
        <v>3.6092835441342251E-3</v>
      </c>
      <c r="AD311">
        <v>-0.88869659543514345</v>
      </c>
      <c r="AE311">
        <v>-0.77278908157354309</v>
      </c>
    </row>
    <row r="312" spans="23:31" x14ac:dyDescent="0.25">
      <c r="W312">
        <v>54.8</v>
      </c>
      <c r="X312">
        <v>56.667037782637749</v>
      </c>
      <c r="Y312">
        <v>-1.8670377826377518</v>
      </c>
      <c r="Z312">
        <v>-1.8863793698156783</v>
      </c>
      <c r="AA312">
        <v>1.0253285997192442E-2</v>
      </c>
      <c r="AB312">
        <v>-0.5092158257277275</v>
      </c>
      <c r="AC312">
        <v>2.4420249828970882E-4</v>
      </c>
      <c r="AD312">
        <v>-0.88869659543514345</v>
      </c>
      <c r="AE312">
        <v>-0.77264934559703502</v>
      </c>
    </row>
    <row r="313" spans="23:31" x14ac:dyDescent="0.25">
      <c r="W313">
        <v>54.2</v>
      </c>
      <c r="X313">
        <v>57.495123412195412</v>
      </c>
      <c r="Y313">
        <v>-3.2951234121954087</v>
      </c>
      <c r="Z313">
        <v>-3.3071420039333432</v>
      </c>
      <c r="AA313">
        <v>3.6341323486087001E-3</v>
      </c>
      <c r="AB313">
        <v>-0.89572167612872211</v>
      </c>
      <c r="AC313">
        <v>2.6603291978602418E-4</v>
      </c>
      <c r="AD313">
        <v>-0.88869659543514345</v>
      </c>
      <c r="AE313">
        <v>-0.77239404160487046</v>
      </c>
    </row>
    <row r="314" spans="23:31" x14ac:dyDescent="0.25">
      <c r="W314">
        <v>53.6</v>
      </c>
      <c r="X314">
        <v>56.205583332327805</v>
      </c>
      <c r="Y314">
        <v>-2.6055833323278037</v>
      </c>
      <c r="Z314">
        <v>-2.6168989286939563</v>
      </c>
      <c r="AA314">
        <v>4.3240479187339094E-3</v>
      </c>
      <c r="AB314">
        <v>-0.70852760980943208</v>
      </c>
      <c r="AC314">
        <v>1.9819530018708455E-4</v>
      </c>
      <c r="AD314">
        <v>-0.88869659543514345</v>
      </c>
      <c r="AE314">
        <v>-0.76510904419268677</v>
      </c>
    </row>
    <row r="315" spans="23:31" x14ac:dyDescent="0.25">
      <c r="W315">
        <v>53.3</v>
      </c>
      <c r="X315">
        <v>56.284128800364641</v>
      </c>
      <c r="Y315">
        <v>-2.984128800364644</v>
      </c>
      <c r="Z315">
        <v>-2.9960196122019411</v>
      </c>
      <c r="AA315">
        <v>3.9688698261073196E-3</v>
      </c>
      <c r="AB315">
        <v>-0.81131952567253662</v>
      </c>
      <c r="AC315">
        <v>2.3844329447063591E-4</v>
      </c>
      <c r="AD315">
        <v>-0.87970786716299942</v>
      </c>
      <c r="AE315">
        <v>-0.76203485582122676</v>
      </c>
    </row>
    <row r="316" spans="23:31" x14ac:dyDescent="0.25">
      <c r="W316">
        <v>52.8</v>
      </c>
      <c r="X316">
        <v>61.808638803842555</v>
      </c>
      <c r="Y316">
        <v>-9.0086388038425582</v>
      </c>
      <c r="Z316">
        <v>-9.1482579765036647</v>
      </c>
      <c r="AA316">
        <v>1.5261831598945553E-2</v>
      </c>
      <c r="AB316">
        <v>-2.4632563372127998</v>
      </c>
      <c r="AC316">
        <v>8.5489429341180159E-3</v>
      </c>
      <c r="AD316">
        <v>-0.87970786716299942</v>
      </c>
      <c r="AE316">
        <v>-0.76200118208604806</v>
      </c>
    </row>
    <row r="317" spans="23:31" x14ac:dyDescent="0.25">
      <c r="W317">
        <v>82</v>
      </c>
      <c r="X317">
        <v>78.812023416785266</v>
      </c>
      <c r="Y317">
        <v>3.1879765832147342</v>
      </c>
      <c r="Z317">
        <v>3.2090851146221553</v>
      </c>
      <c r="AA317">
        <v>6.577741210803803E-3</v>
      </c>
      <c r="AB317">
        <v>0.8678786392831761</v>
      </c>
      <c r="AC317">
        <v>4.5338610902740073E-4</v>
      </c>
      <c r="AD317">
        <v>-0.87970786716299942</v>
      </c>
      <c r="AE317">
        <v>-0.75784180341311014</v>
      </c>
    </row>
    <row r="318" spans="23:31" x14ac:dyDescent="0.25">
      <c r="W318">
        <v>81.8</v>
      </c>
      <c r="X318">
        <v>83.126922234891936</v>
      </c>
      <c r="Y318">
        <v>-1.3269222348919385</v>
      </c>
      <c r="Z318">
        <v>-1.3579008547407199</v>
      </c>
      <c r="AA318">
        <v>2.281360950663941E-2</v>
      </c>
      <c r="AB318">
        <v>-0.36422318401791909</v>
      </c>
      <c r="AC318">
        <v>2.8155230157387331E-4</v>
      </c>
      <c r="AD318">
        <v>-0.873012700415573</v>
      </c>
      <c r="AE318">
        <v>-0.7559287029826246</v>
      </c>
    </row>
    <row r="319" spans="23:31" x14ac:dyDescent="0.25">
      <c r="W319">
        <v>81.599999999999994</v>
      </c>
      <c r="X319">
        <v>83.160669061004967</v>
      </c>
      <c r="Y319">
        <v>-1.5606690610049725</v>
      </c>
      <c r="Z319">
        <v>-1.5969105801405874</v>
      </c>
      <c r="AA319">
        <v>2.2694770506451599E-2</v>
      </c>
      <c r="AB319">
        <v>-0.42835765226208899</v>
      </c>
      <c r="AC319">
        <v>3.8736104781814264E-4</v>
      </c>
      <c r="AD319">
        <v>-0.873012700415573</v>
      </c>
      <c r="AE319">
        <v>-0.7501757503783133</v>
      </c>
    </row>
    <row r="320" spans="23:31" x14ac:dyDescent="0.25">
      <c r="W320">
        <v>81.5</v>
      </c>
      <c r="X320">
        <v>78.92602446549283</v>
      </c>
      <c r="Y320">
        <v>2.57397553450717</v>
      </c>
      <c r="Z320">
        <v>2.5883165111570179</v>
      </c>
      <c r="AA320">
        <v>5.5406580254116281E-3</v>
      </c>
      <c r="AB320">
        <v>0.70036062034884272</v>
      </c>
      <c r="AC320">
        <v>2.4844202837653493E-4</v>
      </c>
      <c r="AD320">
        <v>-0.873012700415573</v>
      </c>
      <c r="AE320">
        <v>-0.74998367355342443</v>
      </c>
    </row>
    <row r="321" spans="23:31" x14ac:dyDescent="0.25">
      <c r="W321">
        <v>81.2</v>
      </c>
      <c r="X321">
        <v>84.148481871840687</v>
      </c>
      <c r="Y321">
        <v>-2.9484818718406842</v>
      </c>
      <c r="Z321">
        <v>-2.9954822055908465</v>
      </c>
      <c r="AA321">
        <v>1.5690406593782368E-2</v>
      </c>
      <c r="AB321">
        <v>-0.80638682407926854</v>
      </c>
      <c r="AC321">
        <v>9.4231616395399828E-4</v>
      </c>
      <c r="AD321">
        <v>-0.873012700415573</v>
      </c>
      <c r="AE321">
        <v>-0.74785633120227968</v>
      </c>
    </row>
    <row r="322" spans="23:31" x14ac:dyDescent="0.25">
      <c r="W322">
        <v>81</v>
      </c>
      <c r="X322">
        <v>79.437109465857205</v>
      </c>
      <c r="Y322">
        <v>1.5628905341427952</v>
      </c>
      <c r="Z322">
        <v>1.5707809559771704</v>
      </c>
      <c r="AA322">
        <v>5.0232477064066222E-3</v>
      </c>
      <c r="AB322">
        <v>0.42514092593651021</v>
      </c>
      <c r="AC322">
        <v>8.2955427180796468E-5</v>
      </c>
      <c r="AD322">
        <v>-0.86414620345364646</v>
      </c>
      <c r="AE322">
        <v>-0.74686689895365987</v>
      </c>
    </row>
    <row r="323" spans="23:31" x14ac:dyDescent="0.25">
      <c r="W323">
        <v>87</v>
      </c>
      <c r="X323">
        <v>82.068337450467496</v>
      </c>
      <c r="Y323">
        <v>4.9316625495325042</v>
      </c>
      <c r="Z323">
        <v>5.0228619394814018</v>
      </c>
      <c r="AA323">
        <v>1.8156857792971992E-2</v>
      </c>
      <c r="AB323">
        <v>1.3504643272004266</v>
      </c>
      <c r="AC323">
        <v>3.0659998500213699E-3</v>
      </c>
      <c r="AD323">
        <v>-0.86414620345364646</v>
      </c>
      <c r="AE323">
        <v>-0.74558734918068303</v>
      </c>
    </row>
    <row r="324" spans="23:31" x14ac:dyDescent="0.25">
      <c r="W324">
        <v>85</v>
      </c>
      <c r="X324">
        <v>82.43969919415693</v>
      </c>
      <c r="Y324">
        <v>2.5603008058430703</v>
      </c>
      <c r="Z324">
        <v>2.5923414290100766</v>
      </c>
      <c r="AA324">
        <v>1.2359723456352324E-2</v>
      </c>
      <c r="AB324">
        <v>0.69904062672776202</v>
      </c>
      <c r="AC324">
        <v>5.5593255866688443E-4</v>
      </c>
      <c r="AD324">
        <v>-0.85973834429501084</v>
      </c>
      <c r="AE324">
        <v>-0.74544250023656677</v>
      </c>
    </row>
    <row r="325" spans="23:31" x14ac:dyDescent="0.25">
      <c r="W325">
        <v>85</v>
      </c>
      <c r="X325">
        <v>79.114885863411885</v>
      </c>
      <c r="Y325">
        <v>5.8851141365881148</v>
      </c>
      <c r="Z325">
        <v>5.9060398353158661</v>
      </c>
      <c r="AA325">
        <v>3.5431015217040839E-3</v>
      </c>
      <c r="AB325">
        <v>1.5996922875319282</v>
      </c>
      <c r="AC325">
        <v>8.2719003738963045E-4</v>
      </c>
      <c r="AD325">
        <v>-0.85973834429501084</v>
      </c>
      <c r="AE325">
        <v>-0.74480676484625985</v>
      </c>
    </row>
    <row r="326" spans="23:31" x14ac:dyDescent="0.25">
      <c r="W326">
        <v>81</v>
      </c>
      <c r="X326">
        <v>81.524784748549067</v>
      </c>
      <c r="Y326">
        <v>-0.52478474854906665</v>
      </c>
      <c r="Z326">
        <v>-0.52899217910449181</v>
      </c>
      <c r="AA326">
        <v>7.9536725146767771E-3</v>
      </c>
      <c r="AB326">
        <v>-0.14296378843362997</v>
      </c>
      <c r="AC326">
        <v>1.4896874626747386E-5</v>
      </c>
      <c r="AD326">
        <v>-0.85973834429501084</v>
      </c>
      <c r="AE326">
        <v>-0.74381341074236174</v>
      </c>
    </row>
    <row r="327" spans="23:31" x14ac:dyDescent="0.25">
      <c r="W327">
        <v>80</v>
      </c>
      <c r="X327">
        <v>78.987300005403</v>
      </c>
      <c r="Y327">
        <v>1.0126999945969999</v>
      </c>
      <c r="Z327">
        <v>1.0247519256296727</v>
      </c>
      <c r="AA327">
        <v>1.1760827895263599E-2</v>
      </c>
      <c r="AB327">
        <v>0.27641435623361083</v>
      </c>
      <c r="AC327">
        <v>8.2661700590225753E-5</v>
      </c>
      <c r="AD327">
        <v>-0.85973834429501084</v>
      </c>
      <c r="AE327">
        <v>-0.74354140781083211</v>
      </c>
    </row>
    <row r="328" spans="23:31" x14ac:dyDescent="0.25">
      <c r="W328">
        <v>79.7</v>
      </c>
      <c r="X328">
        <v>78.535177747396204</v>
      </c>
      <c r="Y328">
        <v>1.1648222526037983</v>
      </c>
      <c r="Z328">
        <v>1.1772780962036364</v>
      </c>
      <c r="AA328">
        <v>1.058020499999867E-2</v>
      </c>
      <c r="AB328">
        <v>0.3177460653036206</v>
      </c>
      <c r="AC328">
        <v>9.8147934674054998E-5</v>
      </c>
      <c r="AD328">
        <v>-0.85973834429501084</v>
      </c>
      <c r="AE328">
        <v>-0.74218489853630887</v>
      </c>
    </row>
    <row r="329" spans="23:31" x14ac:dyDescent="0.25">
      <c r="W329">
        <v>58</v>
      </c>
      <c r="X329">
        <v>54.321144098837905</v>
      </c>
      <c r="Y329">
        <v>3.6788559011620947</v>
      </c>
      <c r="Z329">
        <v>3.7002993918329778</v>
      </c>
      <c r="AA329">
        <v>5.7950691012224843E-3</v>
      </c>
      <c r="AB329">
        <v>1.001118854559824</v>
      </c>
      <c r="AC329">
        <v>5.3108165805890292E-4</v>
      </c>
      <c r="AD329">
        <v>-0.85973834429501084</v>
      </c>
      <c r="AE329">
        <v>-0.73740835218499223</v>
      </c>
    </row>
    <row r="330" spans="23:31" x14ac:dyDescent="0.25">
      <c r="W330">
        <v>49.9</v>
      </c>
      <c r="X330">
        <v>53.500395746024139</v>
      </c>
      <c r="Y330">
        <v>-3.6003957460241409</v>
      </c>
      <c r="Z330">
        <v>-3.6319526447916033</v>
      </c>
      <c r="AA330">
        <v>8.6886867351417402E-3</v>
      </c>
      <c r="AB330">
        <v>-0.98119658646140195</v>
      </c>
      <c r="AC330">
        <v>7.6712025304791133E-4</v>
      </c>
      <c r="AD330">
        <v>-0.85973834429501084</v>
      </c>
      <c r="AE330">
        <v>-0.73534885988322973</v>
      </c>
    </row>
    <row r="331" spans="23:31" x14ac:dyDescent="0.25">
      <c r="W331">
        <v>53</v>
      </c>
      <c r="X331">
        <v>54.144403234858089</v>
      </c>
      <c r="Y331">
        <v>-1.144403234858089</v>
      </c>
      <c r="Z331">
        <v>-1.1511638811518239</v>
      </c>
      <c r="AA331">
        <v>5.8728790960402948E-3</v>
      </c>
      <c r="AB331">
        <v>-0.31143608819615387</v>
      </c>
      <c r="AC331">
        <v>5.2089996059233597E-5</v>
      </c>
      <c r="AD331">
        <v>-0.84444052159937644</v>
      </c>
      <c r="AE331">
        <v>-0.73533156088202378</v>
      </c>
    </row>
    <row r="332" spans="23:31" x14ac:dyDescent="0.25">
      <c r="W332">
        <v>49.8</v>
      </c>
      <c r="X332">
        <v>52.610615989805801</v>
      </c>
      <c r="Y332">
        <v>-2.8106159898058038</v>
      </c>
      <c r="Z332">
        <v>-2.828938581448142</v>
      </c>
      <c r="AA332">
        <v>6.4768432098516191E-3</v>
      </c>
      <c r="AB332">
        <v>-0.76510904419268677</v>
      </c>
      <c r="AC332">
        <v>3.4692801888998521E-4</v>
      </c>
      <c r="AD332">
        <v>-0.84444052159937644</v>
      </c>
      <c r="AE332">
        <v>-0.73368044531323817</v>
      </c>
    </row>
    <row r="333" spans="23:31" x14ac:dyDescent="0.25">
      <c r="W333">
        <v>49.2</v>
      </c>
      <c r="X333">
        <v>51.867003055168539</v>
      </c>
      <c r="Y333">
        <v>-2.6670030551685358</v>
      </c>
      <c r="Z333">
        <v>-2.6848009551802861</v>
      </c>
      <c r="AA333">
        <v>6.6291320320824958E-3</v>
      </c>
      <c r="AB333">
        <v>-0.72607021842477659</v>
      </c>
      <c r="AC333">
        <v>3.1982308720426318E-4</v>
      </c>
      <c r="AD333">
        <v>-0.84444052159937644</v>
      </c>
      <c r="AE333">
        <v>-0.73238746112501796</v>
      </c>
    </row>
    <row r="334" spans="23:31" x14ac:dyDescent="0.25">
      <c r="W334">
        <v>48.6</v>
      </c>
      <c r="X334">
        <v>51.75866267190662</v>
      </c>
      <c r="Y334">
        <v>-3.1586626719066189</v>
      </c>
      <c r="Z334">
        <v>-3.180087026404891</v>
      </c>
      <c r="AA334">
        <v>6.7370340246604129E-3</v>
      </c>
      <c r="AB334">
        <v>-0.8599673177485776</v>
      </c>
      <c r="AC334">
        <v>4.5601140615511386E-4</v>
      </c>
      <c r="AD334">
        <v>-0.84444052159937644</v>
      </c>
      <c r="AE334">
        <v>-0.73129792062312271</v>
      </c>
    </row>
    <row r="335" spans="23:31" x14ac:dyDescent="0.25">
      <c r="W335">
        <v>52.6</v>
      </c>
      <c r="X335">
        <v>56.531735549493924</v>
      </c>
      <c r="Y335">
        <v>-3.9317355494939221</v>
      </c>
      <c r="Z335">
        <v>-3.953227887074398</v>
      </c>
      <c r="AA335">
        <v>5.4366553597247442E-3</v>
      </c>
      <c r="AB335">
        <v>-1.0697416243845477</v>
      </c>
      <c r="AC335">
        <v>5.686754221047377E-4</v>
      </c>
      <c r="AD335">
        <v>-0.8357870519497973</v>
      </c>
      <c r="AE335">
        <v>-0.73018402404466809</v>
      </c>
    </row>
    <row r="336" spans="23:31" x14ac:dyDescent="0.25">
      <c r="W336">
        <v>52.2</v>
      </c>
      <c r="X336">
        <v>56.320566668984341</v>
      </c>
      <c r="Y336">
        <v>-4.1205666689843383</v>
      </c>
      <c r="Z336">
        <v>-4.1426303180421158</v>
      </c>
      <c r="AA336">
        <v>5.3259999961100795E-3</v>
      </c>
      <c r="AB336">
        <v>-1.1210561932505538</v>
      </c>
      <c r="AC336">
        <v>6.1176196928832988E-4</v>
      </c>
      <c r="AD336">
        <v>-0.8357870519497973</v>
      </c>
      <c r="AE336">
        <v>-0.72949457573897769</v>
      </c>
    </row>
    <row r="337" spans="23:31" x14ac:dyDescent="0.25">
      <c r="W337">
        <v>51.8</v>
      </c>
      <c r="X337">
        <v>55.213095854824324</v>
      </c>
      <c r="Y337">
        <v>-3.4130958548243271</v>
      </c>
      <c r="Z337">
        <v>-3.4497522477936755</v>
      </c>
      <c r="AA337">
        <v>1.0625804503146761E-2</v>
      </c>
      <c r="AB337">
        <v>-0.93106288749256638</v>
      </c>
      <c r="AC337">
        <v>8.4638233170165975E-4</v>
      </c>
      <c r="AD337">
        <v>-0.8357870519497973</v>
      </c>
      <c r="AE337">
        <v>-0.72757013889706423</v>
      </c>
    </row>
    <row r="338" spans="23:31" x14ac:dyDescent="0.25">
      <c r="W338">
        <v>51.6</v>
      </c>
      <c r="X338">
        <v>55.082818823351566</v>
      </c>
      <c r="Y338">
        <v>-3.4828188233515647</v>
      </c>
      <c r="Z338">
        <v>-3.5045560642086073</v>
      </c>
      <c r="AA338">
        <v>6.2025661620998332E-3</v>
      </c>
      <c r="AB338">
        <v>-0.94796601404567571</v>
      </c>
      <c r="AC338">
        <v>5.0987813013321395E-4</v>
      </c>
      <c r="AD338">
        <v>-0.8357870519497973</v>
      </c>
      <c r="AE338">
        <v>-0.72642862718086965</v>
      </c>
    </row>
    <row r="339" spans="23:31" x14ac:dyDescent="0.25">
      <c r="W339">
        <v>51.2</v>
      </c>
      <c r="X339">
        <v>54.998991568923024</v>
      </c>
      <c r="Y339">
        <v>-3.7989915689230216</v>
      </c>
      <c r="Z339">
        <v>-3.8203616952745136</v>
      </c>
      <c r="AA339">
        <v>5.5937442724137421E-3</v>
      </c>
      <c r="AB339">
        <v>-1.0337064493791501</v>
      </c>
      <c r="AC339">
        <v>5.4643753912101496E-4</v>
      </c>
      <c r="AD339">
        <v>-0.8357870519497973</v>
      </c>
      <c r="AE339">
        <v>-0.72607021842477659</v>
      </c>
    </row>
    <row r="340" spans="23:31" x14ac:dyDescent="0.25">
      <c r="W340">
        <v>57</v>
      </c>
      <c r="X340">
        <v>59.915192280878955</v>
      </c>
      <c r="Y340">
        <v>-2.915192280878955</v>
      </c>
      <c r="Z340">
        <v>-2.9475225224481534</v>
      </c>
      <c r="AA340">
        <v>1.0968615616325292E-2</v>
      </c>
      <c r="AB340">
        <v>-0.79537692773869706</v>
      </c>
      <c r="AC340">
        <v>6.3781545255903833E-4</v>
      </c>
      <c r="AD340">
        <v>-0.82505741806651978</v>
      </c>
      <c r="AE340">
        <v>-0.72568900788854673</v>
      </c>
    </row>
    <row r="341" spans="23:31" x14ac:dyDescent="0.25">
      <c r="W341">
        <v>49.6</v>
      </c>
      <c r="X341">
        <v>52.861557632651241</v>
      </c>
      <c r="Y341">
        <v>-3.2615576326512397</v>
      </c>
      <c r="Z341">
        <v>-3.2904107115959746</v>
      </c>
      <c r="AA341">
        <v>8.7688381401912832E-3</v>
      </c>
      <c r="AB341">
        <v>-0.88889078447060366</v>
      </c>
      <c r="AC341">
        <v>6.3543514188067567E-4</v>
      </c>
      <c r="AD341">
        <v>-0.82505741806651978</v>
      </c>
      <c r="AE341">
        <v>-0.72397929336352018</v>
      </c>
    </row>
    <row r="342" spans="23:31" x14ac:dyDescent="0.25">
      <c r="W342">
        <v>83</v>
      </c>
      <c r="X342">
        <v>79.537322112048088</v>
      </c>
      <c r="Y342">
        <v>3.4626778879519122</v>
      </c>
      <c r="Z342">
        <v>3.4710119540505389</v>
      </c>
      <c r="AA342">
        <v>2.4010479390334525E-3</v>
      </c>
      <c r="AB342">
        <v>0.94068652190982183</v>
      </c>
      <c r="AC342">
        <v>1.9361633938216587E-4</v>
      </c>
      <c r="AD342">
        <v>-0.8207920883323806</v>
      </c>
      <c r="AE342">
        <v>-0.72129129259331382</v>
      </c>
    </row>
    <row r="343" spans="23:31" x14ac:dyDescent="0.25">
      <c r="W343">
        <v>81</v>
      </c>
      <c r="X343">
        <v>78.771304497781898</v>
      </c>
      <c r="Y343">
        <v>2.2286955022181019</v>
      </c>
      <c r="Z343">
        <v>2.2333668237408801</v>
      </c>
      <c r="AA343">
        <v>2.0916051376441073E-3</v>
      </c>
      <c r="AB343">
        <v>0.60536348141882623</v>
      </c>
      <c r="AC343">
        <v>6.9827866958564923E-5</v>
      </c>
      <c r="AD343">
        <v>-0.81866501502518862</v>
      </c>
      <c r="AE343">
        <v>-0.70925895051671661</v>
      </c>
    </row>
    <row r="344" spans="23:31" x14ac:dyDescent="0.25">
      <c r="W344">
        <v>79.900000000000006</v>
      </c>
      <c r="X344">
        <v>76.766092183724922</v>
      </c>
      <c r="Y344">
        <v>3.1339078162750837</v>
      </c>
      <c r="Z344">
        <v>3.174427138851371</v>
      </c>
      <c r="AA344">
        <v>1.276429440776047E-2</v>
      </c>
      <c r="AB344">
        <v>0.85582823522798734</v>
      </c>
      <c r="AC344">
        <v>8.6090750585126621E-4</v>
      </c>
      <c r="AD344">
        <v>-0.81866501502518862</v>
      </c>
      <c r="AE344">
        <v>-0.70925212809276184</v>
      </c>
    </row>
    <row r="345" spans="23:31" x14ac:dyDescent="0.25">
      <c r="W345">
        <v>79.8</v>
      </c>
      <c r="X345">
        <v>77.388818877184136</v>
      </c>
      <c r="Y345">
        <v>2.4111811228158615</v>
      </c>
      <c r="Z345">
        <v>2.4164954683891722</v>
      </c>
      <c r="AA345">
        <v>2.1991953400379003E-3</v>
      </c>
      <c r="AB345">
        <v>0.65496596096917747</v>
      </c>
      <c r="AC345">
        <v>8.5953730744269587E-5</v>
      </c>
      <c r="AD345">
        <v>-0.81866501502518862</v>
      </c>
      <c r="AE345">
        <v>-0.70852760980943208</v>
      </c>
    </row>
    <row r="346" spans="23:31" x14ac:dyDescent="0.25">
      <c r="W346">
        <v>79.099999999999994</v>
      </c>
      <c r="X346">
        <v>74.910964127058719</v>
      </c>
      <c r="Y346">
        <v>4.1890358729412753</v>
      </c>
      <c r="Z346">
        <v>4.2183697306869163</v>
      </c>
      <c r="AA346">
        <v>6.9538375292830627E-3</v>
      </c>
      <c r="AB346">
        <v>1.1406178946870404</v>
      </c>
      <c r="AC346">
        <v>8.2821440234882708E-4</v>
      </c>
      <c r="AD346">
        <v>-0.81230589119800856</v>
      </c>
      <c r="AE346">
        <v>-0.70818032253711638</v>
      </c>
    </row>
    <row r="347" spans="23:31" x14ac:dyDescent="0.25">
      <c r="W347">
        <v>79.3</v>
      </c>
      <c r="X347">
        <v>77.090275047674552</v>
      </c>
      <c r="Y347">
        <v>2.2097249523254447</v>
      </c>
      <c r="Z347">
        <v>2.214626321716878</v>
      </c>
      <c r="AA347">
        <v>2.2131812231110668E-3</v>
      </c>
      <c r="AB347">
        <v>0.60024722176296363</v>
      </c>
      <c r="AC347">
        <v>7.2651878269446488E-5</v>
      </c>
      <c r="AD347">
        <v>-0.81230589119800856</v>
      </c>
      <c r="AE347">
        <v>-0.70600474677848235</v>
      </c>
    </row>
    <row r="348" spans="23:31" x14ac:dyDescent="0.25">
      <c r="W348">
        <v>79.599999999999994</v>
      </c>
      <c r="X348">
        <v>76.94939322094784</v>
      </c>
      <c r="Y348">
        <v>2.6506067790521541</v>
      </c>
      <c r="Z348">
        <v>2.6559134698854905</v>
      </c>
      <c r="AA348">
        <v>1.9980661619838484E-3</v>
      </c>
      <c r="AB348">
        <v>0.7199302680084152</v>
      </c>
      <c r="AC348">
        <v>9.4333655260594489E-5</v>
      </c>
      <c r="AD348">
        <v>-0.80808466725232064</v>
      </c>
      <c r="AE348">
        <v>-0.70549857430196783</v>
      </c>
    </row>
    <row r="349" spans="23:31" x14ac:dyDescent="0.25">
      <c r="W349">
        <v>78.900000000000006</v>
      </c>
      <c r="X349">
        <v>77.878978160560067</v>
      </c>
      <c r="Y349">
        <v>1.0210218394399391</v>
      </c>
      <c r="Z349">
        <v>1.0236236848725184</v>
      </c>
      <c r="AA349">
        <v>2.5417987792156378E-3</v>
      </c>
      <c r="AB349">
        <v>0.27739491709987013</v>
      </c>
      <c r="AC349">
        <v>1.7825871600366862E-5</v>
      </c>
      <c r="AD349">
        <v>-0.80808466725232064</v>
      </c>
      <c r="AE349">
        <v>-0.70394753337859883</v>
      </c>
    </row>
    <row r="350" spans="23:31" x14ac:dyDescent="0.25">
      <c r="W350">
        <v>78.900000000000006</v>
      </c>
      <c r="X350">
        <v>76.889559822325708</v>
      </c>
      <c r="Y350">
        <v>2.0104401776742975</v>
      </c>
      <c r="Z350">
        <v>2.0133708224333589</v>
      </c>
      <c r="AA350">
        <v>1.4555911540987236E-3</v>
      </c>
      <c r="AB350">
        <v>0.54590652179185006</v>
      </c>
      <c r="AC350">
        <v>3.9492616110367606E-5</v>
      </c>
      <c r="AD350">
        <v>-0.80808466725232064</v>
      </c>
      <c r="AE350">
        <v>-0.70145232457837492</v>
      </c>
    </row>
    <row r="351" spans="23:31" x14ac:dyDescent="0.25">
      <c r="W351">
        <v>75.8</v>
      </c>
      <c r="X351">
        <v>72.865090006765172</v>
      </c>
      <c r="Y351">
        <v>2.9349099932348253</v>
      </c>
      <c r="Z351">
        <v>2.9415373011567709</v>
      </c>
      <c r="AA351">
        <v>2.2530082890139368E-3</v>
      </c>
      <c r="AB351">
        <v>0.79725158901793491</v>
      </c>
      <c r="AC351">
        <v>1.3047895337264231E-4</v>
      </c>
      <c r="AD351">
        <v>-0.80808466725232064</v>
      </c>
      <c r="AE351">
        <v>-0.69637771634060575</v>
      </c>
    </row>
    <row r="352" spans="23:31" x14ac:dyDescent="0.25">
      <c r="W352">
        <v>75.599999999999994</v>
      </c>
      <c r="X352">
        <v>71.205049230293781</v>
      </c>
      <c r="Y352">
        <v>4.3949507697062131</v>
      </c>
      <c r="Z352">
        <v>4.4182590945123508</v>
      </c>
      <c r="AA352">
        <v>5.2754544963394805E-3</v>
      </c>
      <c r="AB352">
        <v>1.1956757394619597</v>
      </c>
      <c r="AC352">
        <v>6.8927288833840988E-4</v>
      </c>
      <c r="AD352">
        <v>-0.79968509868701798</v>
      </c>
      <c r="AE352">
        <v>-0.69402318172620503</v>
      </c>
    </row>
    <row r="353" spans="23:31" x14ac:dyDescent="0.25">
      <c r="W353">
        <v>75.400000000000006</v>
      </c>
      <c r="X353">
        <v>70.772996239387652</v>
      </c>
      <c r="Y353">
        <v>4.6270037606123537</v>
      </c>
      <c r="Z353">
        <v>4.6518881311161095</v>
      </c>
      <c r="AA353">
        <v>5.3493054438050651E-3</v>
      </c>
      <c r="AB353">
        <v>1.2588540382072804</v>
      </c>
      <c r="AC353">
        <v>7.7479155087100847E-4</v>
      </c>
      <c r="AD353">
        <v>-0.79968509868701798</v>
      </c>
      <c r="AE353">
        <v>-0.68311994886636551</v>
      </c>
    </row>
    <row r="354" spans="23:31" x14ac:dyDescent="0.25">
      <c r="W354">
        <v>75.2</v>
      </c>
      <c r="X354">
        <v>72.032735842249622</v>
      </c>
      <c r="Y354">
        <v>3.1672641577503811</v>
      </c>
      <c r="Z354">
        <v>3.1759426494948855</v>
      </c>
      <c r="AA354">
        <v>2.7325719328997852E-3</v>
      </c>
      <c r="AB354">
        <v>0.86057611616767127</v>
      </c>
      <c r="AC354">
        <v>1.8447854345336872E-4</v>
      </c>
      <c r="AD354">
        <v>-0.79968509868701798</v>
      </c>
      <c r="AE354">
        <v>-0.68178464709866593</v>
      </c>
    </row>
    <row r="355" spans="23:31" x14ac:dyDescent="0.25">
      <c r="W355">
        <v>75</v>
      </c>
      <c r="X355">
        <v>71.497896036140418</v>
      </c>
      <c r="Y355">
        <v>3.5021039638595823</v>
      </c>
      <c r="Z355">
        <v>3.5126719906741073</v>
      </c>
      <c r="AA355">
        <v>3.008543593760325E-3</v>
      </c>
      <c r="AB355">
        <v>0.95168699830309067</v>
      </c>
      <c r="AC355">
        <v>2.4846227601191609E-4</v>
      </c>
      <c r="AD355">
        <v>-0.79968509868701798</v>
      </c>
      <c r="AE355">
        <v>-0.68132031515426539</v>
      </c>
    </row>
    <row r="356" spans="23:31" x14ac:dyDescent="0.25">
      <c r="W356">
        <v>74.900000000000006</v>
      </c>
      <c r="X356">
        <v>71.206285010164066</v>
      </c>
      <c r="Y356">
        <v>3.6937149898359394</v>
      </c>
      <c r="Z356">
        <v>3.7050720690371293</v>
      </c>
      <c r="AA356">
        <v>3.0652788905492913E-3</v>
      </c>
      <c r="AB356">
        <v>1.0037853223095203</v>
      </c>
      <c r="AC356">
        <v>2.8163866004322962E-4</v>
      </c>
      <c r="AD356">
        <v>-0.79968509868701798</v>
      </c>
      <c r="AE356">
        <v>-0.68064709216194641</v>
      </c>
    </row>
    <row r="357" spans="23:31" x14ac:dyDescent="0.25">
      <c r="W357">
        <v>74.5</v>
      </c>
      <c r="X357">
        <v>70.607352858610128</v>
      </c>
      <c r="Y357">
        <v>3.8926471413898724</v>
      </c>
      <c r="Z357">
        <v>3.9054055147503135</v>
      </c>
      <c r="AA357">
        <v>3.2668498347374372E-3</v>
      </c>
      <c r="AB357">
        <v>1.0579530782177962</v>
      </c>
      <c r="AC357">
        <v>3.3349582182006442E-4</v>
      </c>
      <c r="AD357">
        <v>-0.78926429572475043</v>
      </c>
      <c r="AE357">
        <v>-0.67619388641459344</v>
      </c>
    </row>
    <row r="358" spans="23:31" x14ac:dyDescent="0.25">
      <c r="W358">
        <v>74.400000000000006</v>
      </c>
      <c r="X358">
        <v>70.008114236677599</v>
      </c>
      <c r="Y358">
        <v>4.3918857633224064</v>
      </c>
      <c r="Z358">
        <v>4.4070155476075996</v>
      </c>
      <c r="AA358">
        <v>3.4331134351012291E-3</v>
      </c>
      <c r="AB358">
        <v>1.1937369282516572</v>
      </c>
      <c r="AC358">
        <v>4.4627881746328059E-4</v>
      </c>
      <c r="AD358">
        <v>-0.78926429572475043</v>
      </c>
      <c r="AE358">
        <v>-0.66938685381576701</v>
      </c>
    </row>
    <row r="359" spans="23:31" x14ac:dyDescent="0.25">
      <c r="W359">
        <v>74.2</v>
      </c>
      <c r="X359">
        <v>69.323942120406343</v>
      </c>
      <c r="Y359">
        <v>4.8760578795936595</v>
      </c>
      <c r="Z359">
        <v>4.8949537126131446</v>
      </c>
      <c r="AA359">
        <v>3.8602679675579792E-3</v>
      </c>
      <c r="AB359">
        <v>1.3256215048419266</v>
      </c>
      <c r="AC359">
        <v>6.1907545679266486E-4</v>
      </c>
      <c r="AD359">
        <v>-0.78926429572475043</v>
      </c>
      <c r="AE359">
        <v>-0.66878744898490261</v>
      </c>
    </row>
    <row r="360" spans="23:31" x14ac:dyDescent="0.25">
      <c r="W360">
        <v>73.900000000000006</v>
      </c>
      <c r="X360">
        <v>68.698505140722034</v>
      </c>
      <c r="Y360">
        <v>5.2014948592779717</v>
      </c>
      <c r="Z360">
        <v>5.2232156614452094</v>
      </c>
      <c r="AA360">
        <v>4.1585114563750707E-3</v>
      </c>
      <c r="AB360">
        <v>1.4143076345241659</v>
      </c>
      <c r="AC360">
        <v>7.5935135591078729E-4</v>
      </c>
      <c r="AD360">
        <v>-0.78926429572475043</v>
      </c>
      <c r="AE360">
        <v>-0.66610059555911538</v>
      </c>
    </row>
    <row r="361" spans="23:31" x14ac:dyDescent="0.25">
      <c r="W361">
        <v>73.5</v>
      </c>
      <c r="X361">
        <v>69.620126493524069</v>
      </c>
      <c r="Y361">
        <v>3.8798735064759313</v>
      </c>
      <c r="Z361">
        <v>3.9038421308226106</v>
      </c>
      <c r="AA361">
        <v>6.139752465254323E-3</v>
      </c>
      <c r="AB361">
        <v>1.0560043975908444</v>
      </c>
      <c r="AC361">
        <v>6.2627389665220301E-4</v>
      </c>
      <c r="AD361">
        <v>-0.78098898173722842</v>
      </c>
      <c r="AE361">
        <v>-0.66415567096519901</v>
      </c>
    </row>
    <row r="362" spans="23:31" x14ac:dyDescent="0.25">
      <c r="W362">
        <v>73.099999999999994</v>
      </c>
      <c r="X362">
        <v>69.122876387319536</v>
      </c>
      <c r="Y362">
        <v>3.9771236126804581</v>
      </c>
      <c r="Z362">
        <v>4.0046690719080402</v>
      </c>
      <c r="AA362">
        <v>6.878335945609439E-3</v>
      </c>
      <c r="AB362">
        <v>1.0828758832236249</v>
      </c>
      <c r="AC362">
        <v>7.3832165383452819E-4</v>
      </c>
      <c r="AD362">
        <v>-0.78098898173722842</v>
      </c>
      <c r="AE362">
        <v>-0.66172696891317895</v>
      </c>
    </row>
    <row r="363" spans="23:31" x14ac:dyDescent="0.25">
      <c r="W363">
        <v>72.7</v>
      </c>
      <c r="X363">
        <v>68.663366345084569</v>
      </c>
      <c r="Y363">
        <v>4.036633654915434</v>
      </c>
      <c r="Z363">
        <v>4.0682648119085485</v>
      </c>
      <c r="AA363">
        <v>7.7750978502013502E-3</v>
      </c>
      <c r="AB363">
        <v>1.0995756036594142</v>
      </c>
      <c r="AC363">
        <v>8.6129761948494307E-4</v>
      </c>
      <c r="AD363">
        <v>-0.78098898173722842</v>
      </c>
      <c r="AE363">
        <v>-0.66015362476597572</v>
      </c>
    </row>
    <row r="364" spans="23:31" x14ac:dyDescent="0.25">
      <c r="W364">
        <v>72.2</v>
      </c>
      <c r="X364">
        <v>68.409418107601326</v>
      </c>
      <c r="Y364">
        <v>3.7905818923986772</v>
      </c>
      <c r="Z364">
        <v>3.8248752222536382</v>
      </c>
      <c r="AA364">
        <v>8.9658689139549726E-3</v>
      </c>
      <c r="AB364">
        <v>1.0331714527000515</v>
      </c>
      <c r="AC364">
        <v>8.7792190165346623E-4</v>
      </c>
      <c r="AD364">
        <v>-0.78098898173722842</v>
      </c>
      <c r="AE364">
        <v>-0.65658825492130746</v>
      </c>
    </row>
    <row r="365" spans="23:31" x14ac:dyDescent="0.25">
      <c r="W365">
        <v>71.7</v>
      </c>
      <c r="X365">
        <v>65.498066403752077</v>
      </c>
      <c r="Y365">
        <v>6.2019335962479261</v>
      </c>
      <c r="Z365">
        <v>6.2621205823354416</v>
      </c>
      <c r="AA365">
        <v>9.6112786868549835E-3</v>
      </c>
      <c r="AB365">
        <v>1.6909668318587521</v>
      </c>
      <c r="AC365">
        <v>2.5226266366717605E-3</v>
      </c>
      <c r="AD365">
        <v>-0.78098898173722842</v>
      </c>
      <c r="AE365">
        <v>-0.65128669602389655</v>
      </c>
    </row>
    <row r="366" spans="23:31" x14ac:dyDescent="0.25">
      <c r="W366">
        <v>74.599999999999994</v>
      </c>
      <c r="X366">
        <v>72.462562331998711</v>
      </c>
      <c r="Y366">
        <v>2.137437668001283</v>
      </c>
      <c r="Z366">
        <v>2.1612998016682212</v>
      </c>
      <c r="AA366">
        <v>1.1040640289012251E-2</v>
      </c>
      <c r="AB366">
        <v>0.58319669771585037</v>
      </c>
      <c r="AC366">
        <v>3.4518605507498568E-4</v>
      </c>
      <c r="AD366">
        <v>-0.78098898173722842</v>
      </c>
      <c r="AE366">
        <v>-0.65102840438249576</v>
      </c>
    </row>
    <row r="367" spans="23:31" x14ac:dyDescent="0.25">
      <c r="W367">
        <v>74.400000000000006</v>
      </c>
      <c r="X367">
        <v>73.14679942271961</v>
      </c>
      <c r="Y367">
        <v>1.2532005772803956</v>
      </c>
      <c r="Z367">
        <v>1.2551511400106392</v>
      </c>
      <c r="AA367">
        <v>1.5540460969744223E-3</v>
      </c>
      <c r="AB367">
        <v>0.34030562333739617</v>
      </c>
      <c r="AC367">
        <v>1.638645092191975E-5</v>
      </c>
      <c r="AD367">
        <v>-0.78098898173722842</v>
      </c>
      <c r="AE367">
        <v>-0.64992769653624638</v>
      </c>
    </row>
    <row r="368" spans="23:31" x14ac:dyDescent="0.25">
      <c r="W368">
        <v>74.3</v>
      </c>
      <c r="X368">
        <v>73.688084743258827</v>
      </c>
      <c r="Y368">
        <v>0.61191525674117031</v>
      </c>
      <c r="Z368">
        <v>0.61277209672522304</v>
      </c>
      <c r="AA368">
        <v>1.3983012422302764E-3</v>
      </c>
      <c r="AB368">
        <v>0.16615214459338398</v>
      </c>
      <c r="AC368">
        <v>3.5142095961971675E-6</v>
      </c>
      <c r="AD368">
        <v>-0.78098898173722842</v>
      </c>
      <c r="AE368">
        <v>-0.64863712926024808</v>
      </c>
    </row>
    <row r="369" spans="23:31" x14ac:dyDescent="0.25">
      <c r="W369">
        <v>74.2</v>
      </c>
      <c r="X369">
        <v>72.644748902031836</v>
      </c>
      <c r="Y369">
        <v>1.5552510979681671</v>
      </c>
      <c r="Z369">
        <v>1.5573171588496422</v>
      </c>
      <c r="AA369">
        <v>1.3266795846513565E-3</v>
      </c>
      <c r="AB369">
        <v>0.42227912474332713</v>
      </c>
      <c r="AC369">
        <v>2.1535211361141676E-5</v>
      </c>
      <c r="AD369">
        <v>-0.76459654801725674</v>
      </c>
      <c r="AE369">
        <v>-0.64745433611171954</v>
      </c>
    </row>
    <row r="370" spans="23:31" x14ac:dyDescent="0.25">
      <c r="W370">
        <v>73.599999999999994</v>
      </c>
      <c r="X370">
        <v>74.762247599297524</v>
      </c>
      <c r="Y370">
        <v>-1.1622475992975296</v>
      </c>
      <c r="Z370">
        <v>-1.1648186015055444</v>
      </c>
      <c r="AA370">
        <v>2.2072125262157542E-3</v>
      </c>
      <c r="AB370">
        <v>-0.31571069745471203</v>
      </c>
      <c r="AC370">
        <v>2.0044244977777471E-5</v>
      </c>
      <c r="AD370">
        <v>-0.7625619542054235</v>
      </c>
      <c r="AE370">
        <v>-0.64636796410479291</v>
      </c>
    </row>
    <row r="371" spans="23:31" x14ac:dyDescent="0.25">
      <c r="W371">
        <v>73.599999999999994</v>
      </c>
      <c r="X371">
        <v>74.808802963821336</v>
      </c>
      <c r="Y371">
        <v>-1.2088029638213413</v>
      </c>
      <c r="Z371">
        <v>-1.2114912602121137</v>
      </c>
      <c r="AA371">
        <v>2.2189977584377565E-3</v>
      </c>
      <c r="AB371">
        <v>-0.32835884610955507</v>
      </c>
      <c r="AC371">
        <v>2.179848892723364E-5</v>
      </c>
      <c r="AD371">
        <v>-0.7625619542054235</v>
      </c>
      <c r="AE371">
        <v>-0.64611913664928056</v>
      </c>
    </row>
    <row r="372" spans="23:31" x14ac:dyDescent="0.25">
      <c r="W372">
        <v>73.5</v>
      </c>
      <c r="X372">
        <v>72.111158620116328</v>
      </c>
      <c r="Y372">
        <v>1.3888413798836723</v>
      </c>
      <c r="Z372">
        <v>1.3906289766690492</v>
      </c>
      <c r="AA372">
        <v>1.285459180963365E-3</v>
      </c>
      <c r="AB372">
        <v>0.37708805989150318</v>
      </c>
      <c r="AC372">
        <v>1.6638332327581143E-5</v>
      </c>
      <c r="AD372">
        <v>-0.7625619542054235</v>
      </c>
      <c r="AE372">
        <v>-0.64470855247209813</v>
      </c>
    </row>
    <row r="373" spans="23:31" x14ac:dyDescent="0.25">
      <c r="W373">
        <v>73.5</v>
      </c>
      <c r="X373">
        <v>71.640518855203965</v>
      </c>
      <c r="Y373">
        <v>1.8594811447960353</v>
      </c>
      <c r="Z373">
        <v>1.8619505205027025</v>
      </c>
      <c r="AA373">
        <v>1.3262305735147572E-3</v>
      </c>
      <c r="AB373">
        <v>0.5048830345187495</v>
      </c>
      <c r="AC373">
        <v>3.0774022151356908E-5</v>
      </c>
      <c r="AD373">
        <v>-0.75647701124006039</v>
      </c>
      <c r="AE373">
        <v>-0.64174829136234091</v>
      </c>
    </row>
    <row r="374" spans="23:31" x14ac:dyDescent="0.25">
      <c r="W374">
        <v>73.099999999999994</v>
      </c>
      <c r="X374">
        <v>70.802686789873619</v>
      </c>
      <c r="Y374">
        <v>2.2973132101263758</v>
      </c>
      <c r="Z374">
        <v>2.3009755587588927</v>
      </c>
      <c r="AA374">
        <v>1.5916503843667329E-3</v>
      </c>
      <c r="AB374">
        <v>0.62384532910637081</v>
      </c>
      <c r="AC374">
        <v>5.6402797445162455E-5</v>
      </c>
      <c r="AD374">
        <v>-0.75647701124006039</v>
      </c>
      <c r="AE374">
        <v>-0.6352905472640954</v>
      </c>
    </row>
    <row r="375" spans="23:31" x14ac:dyDescent="0.25">
      <c r="W375">
        <v>73.099999999999994</v>
      </c>
      <c r="X375">
        <v>68.848545891902347</v>
      </c>
      <c r="Y375">
        <v>4.2514541080976471</v>
      </c>
      <c r="Z375">
        <v>4.2669206867636404</v>
      </c>
      <c r="AA375">
        <v>3.6247635710607556E-3</v>
      </c>
      <c r="AB375">
        <v>1.1556780185969551</v>
      </c>
      <c r="AC375">
        <v>4.4171055789807366E-4</v>
      </c>
      <c r="AD375">
        <v>-0.75647701124006039</v>
      </c>
      <c r="AE375">
        <v>-0.63416745761439708</v>
      </c>
    </row>
    <row r="376" spans="23:31" x14ac:dyDescent="0.25">
      <c r="W376">
        <v>72.8</v>
      </c>
      <c r="X376">
        <v>70.30141946961875</v>
      </c>
      <c r="Y376">
        <v>2.4985805303812469</v>
      </c>
      <c r="Z376">
        <v>2.5023448061774616</v>
      </c>
      <c r="AA376">
        <v>1.5042994022738078E-3</v>
      </c>
      <c r="AB376">
        <v>0.67847066048578974</v>
      </c>
      <c r="AC376">
        <v>6.3046000701440038E-5</v>
      </c>
      <c r="AD376">
        <v>-0.75647701124006039</v>
      </c>
      <c r="AE376">
        <v>-0.63260576299662397</v>
      </c>
    </row>
    <row r="377" spans="23:31" x14ac:dyDescent="0.25">
      <c r="W377">
        <v>72.400000000000006</v>
      </c>
      <c r="X377">
        <v>73.243439047038336</v>
      </c>
      <c r="Y377">
        <v>-0.84343904703833061</v>
      </c>
      <c r="Z377">
        <v>-0.84545333167429249</v>
      </c>
      <c r="AA377">
        <v>2.3824906242619162E-3</v>
      </c>
      <c r="AB377">
        <v>-0.229130282938143</v>
      </c>
      <c r="AC377">
        <v>1.1398282983693873E-5</v>
      </c>
      <c r="AD377">
        <v>-0.75647701124006039</v>
      </c>
      <c r="AE377">
        <v>-0.62373837279171496</v>
      </c>
    </row>
    <row r="378" spans="23:31" x14ac:dyDescent="0.25">
      <c r="W378">
        <v>71.8</v>
      </c>
      <c r="X378">
        <v>70.121310200393722</v>
      </c>
      <c r="Y378">
        <v>1.6786897996062748</v>
      </c>
      <c r="Z378">
        <v>1.6806754877380854</v>
      </c>
      <c r="AA378">
        <v>1.1814821756498143E-3</v>
      </c>
      <c r="AB378">
        <v>0.45576185994472462</v>
      </c>
      <c r="AC378">
        <v>2.2336949432363862E-5</v>
      </c>
      <c r="AD378">
        <v>-0.74639716414434454</v>
      </c>
      <c r="AE378">
        <v>-0.62317344664774854</v>
      </c>
    </row>
    <row r="379" spans="23:31" x14ac:dyDescent="0.25">
      <c r="W379">
        <v>71.5</v>
      </c>
      <c r="X379">
        <v>68.382797358467528</v>
      </c>
      <c r="Y379">
        <v>3.1172026415324723</v>
      </c>
      <c r="Z379">
        <v>3.1486475089010924</v>
      </c>
      <c r="AA379">
        <v>9.9867855260818445E-3</v>
      </c>
      <c r="AB379">
        <v>0.85007131181989914</v>
      </c>
      <c r="AC379">
        <v>6.6267832561314158E-4</v>
      </c>
      <c r="AD379">
        <v>-0.74639716414434454</v>
      </c>
      <c r="AE379">
        <v>-0.62135109545342593</v>
      </c>
    </row>
    <row r="380" spans="23:31" x14ac:dyDescent="0.25">
      <c r="W380">
        <v>71.400000000000006</v>
      </c>
      <c r="X380">
        <v>69.735020213986445</v>
      </c>
      <c r="Y380">
        <v>1.6649797860135607</v>
      </c>
      <c r="Z380">
        <v>1.6670268402468622</v>
      </c>
      <c r="AA380">
        <v>1.2279671711804946E-3</v>
      </c>
      <c r="AB380">
        <v>0.45205013034874841</v>
      </c>
      <c r="AC380">
        <v>2.2840252247285124E-5</v>
      </c>
      <c r="AD380">
        <v>-0.74639716414434454</v>
      </c>
      <c r="AE380">
        <v>-0.61987791676233939</v>
      </c>
    </row>
    <row r="381" spans="23:31" x14ac:dyDescent="0.25">
      <c r="W381">
        <v>63.2</v>
      </c>
      <c r="X381">
        <v>69.887311175508501</v>
      </c>
      <c r="Y381">
        <v>-6.6873111755084977</v>
      </c>
      <c r="Z381">
        <v>-6.7130370383373759</v>
      </c>
      <c r="AA381">
        <v>3.8322241754311409E-3</v>
      </c>
      <c r="AB381">
        <v>-1.8180093308459235</v>
      </c>
      <c r="AC381">
        <v>1.1558938362700821E-3</v>
      </c>
      <c r="AD381">
        <v>-0.74038552290047832</v>
      </c>
      <c r="AE381">
        <v>-0.61901571339269468</v>
      </c>
    </row>
    <row r="382" spans="23:31" x14ac:dyDescent="0.25">
      <c r="W382">
        <v>62.9</v>
      </c>
      <c r="X382">
        <v>65.783375789642392</v>
      </c>
      <c r="Y382">
        <v>-2.8833757896423933</v>
      </c>
      <c r="Z382">
        <v>-2.8900243620176624</v>
      </c>
      <c r="AA382">
        <v>2.3005246816067233E-3</v>
      </c>
      <c r="AB382">
        <v>-0.78327126739067887</v>
      </c>
      <c r="AC382">
        <v>1.2860529780569325E-4</v>
      </c>
      <c r="AD382">
        <v>-0.74038552290047832</v>
      </c>
      <c r="AE382">
        <v>-0.61324060304890204</v>
      </c>
    </row>
    <row r="383" spans="23:31" x14ac:dyDescent="0.25">
      <c r="W383">
        <v>62.5</v>
      </c>
      <c r="X383">
        <v>65.561286857107206</v>
      </c>
      <c r="Y383">
        <v>-3.0612868571072056</v>
      </c>
      <c r="Z383">
        <v>-3.0690310288559743</v>
      </c>
      <c r="AA383">
        <v>2.5233279416065559E-3</v>
      </c>
      <c r="AB383">
        <v>-0.83169381759078287</v>
      </c>
      <c r="AC383">
        <v>1.5907620083050006E-4</v>
      </c>
      <c r="AD383">
        <v>-0.74038552290047832</v>
      </c>
      <c r="AE383">
        <v>-0.61309564322445809</v>
      </c>
    </row>
    <row r="384" spans="23:31" x14ac:dyDescent="0.25">
      <c r="W384">
        <v>62.2</v>
      </c>
      <c r="X384">
        <v>65.342579503528896</v>
      </c>
      <c r="Y384">
        <v>-3.1425795035288928</v>
      </c>
      <c r="Z384">
        <v>-3.1495886911289972</v>
      </c>
      <c r="AA384">
        <v>2.2254295044426592E-3</v>
      </c>
      <c r="AB384">
        <v>-0.85365203122897859</v>
      </c>
      <c r="AC384">
        <v>1.4775782215639148E-4</v>
      </c>
      <c r="AD384">
        <v>-0.74038552290047832</v>
      </c>
      <c r="AE384">
        <v>-0.61206809735822265</v>
      </c>
    </row>
    <row r="385" spans="23:31" x14ac:dyDescent="0.25">
      <c r="W385">
        <v>61.8</v>
      </c>
      <c r="X385">
        <v>64.930832436104055</v>
      </c>
      <c r="Y385">
        <v>-3.1308324361040576</v>
      </c>
      <c r="Z385">
        <v>-3.1379189489315564</v>
      </c>
      <c r="AA385">
        <v>2.2583479506110178E-3</v>
      </c>
      <c r="AB385">
        <v>-0.85047508084481405</v>
      </c>
      <c r="AC385">
        <v>1.4883437711768244E-4</v>
      </c>
      <c r="AD385">
        <v>-0.74038552290047832</v>
      </c>
      <c r="AE385">
        <v>-0.61115766532279359</v>
      </c>
    </row>
    <row r="386" spans="23:31" x14ac:dyDescent="0.25">
      <c r="W386">
        <v>61.3</v>
      </c>
      <c r="X386">
        <v>64.577335780674815</v>
      </c>
      <c r="Y386">
        <v>-3.277335780674818</v>
      </c>
      <c r="Z386">
        <v>-3.2856610876510643</v>
      </c>
      <c r="AA386">
        <v>2.5338301042469049E-3</v>
      </c>
      <c r="AB386">
        <v>-0.89039491677536586</v>
      </c>
      <c r="AC386">
        <v>1.8308466738123E-4</v>
      </c>
      <c r="AD386">
        <v>-0.73042509746273321</v>
      </c>
      <c r="AE386">
        <v>-0.60944522345352214</v>
      </c>
    </row>
    <row r="387" spans="23:31" x14ac:dyDescent="0.25">
      <c r="W387">
        <v>61</v>
      </c>
      <c r="X387">
        <v>63.742033803440435</v>
      </c>
      <c r="Y387">
        <v>-2.7420338034404352</v>
      </c>
      <c r="Z387">
        <v>-2.7525413699236978</v>
      </c>
      <c r="AA387">
        <v>3.8174054704786181E-3</v>
      </c>
      <c r="AB387">
        <v>-0.74544250023656677</v>
      </c>
      <c r="AC387">
        <v>1.9358199286148499E-4</v>
      </c>
      <c r="AD387">
        <v>-0.73042509746273321</v>
      </c>
      <c r="AE387">
        <v>-0.60773230076808027</v>
      </c>
    </row>
    <row r="388" spans="23:31" x14ac:dyDescent="0.25">
      <c r="W388">
        <v>66</v>
      </c>
      <c r="X388">
        <v>63.259594265709431</v>
      </c>
      <c r="Y388">
        <v>2.7404057342905688</v>
      </c>
      <c r="Z388">
        <v>2.7509521275978059</v>
      </c>
      <c r="AA388">
        <v>3.8337247680310109E-3</v>
      </c>
      <c r="AB388">
        <v>0.74500599970780201</v>
      </c>
      <c r="AC388">
        <v>1.9418512152312369E-4</v>
      </c>
      <c r="AD388">
        <v>-0.73042509746273321</v>
      </c>
      <c r="AE388">
        <v>-0.60442475133491758</v>
      </c>
    </row>
    <row r="389" spans="23:31" x14ac:dyDescent="0.25">
      <c r="W389">
        <v>63</v>
      </c>
      <c r="X389">
        <v>63.557668247292725</v>
      </c>
      <c r="Y389">
        <v>-0.55766824729272457</v>
      </c>
      <c r="Z389">
        <v>-0.55905064871690513</v>
      </c>
      <c r="AA389">
        <v>2.4727659780938516E-3</v>
      </c>
      <c r="AB389">
        <v>-0.15150408975726198</v>
      </c>
      <c r="AC389">
        <v>5.1726641702387302E-6</v>
      </c>
      <c r="AD389">
        <v>-0.72448350403832318</v>
      </c>
      <c r="AE389">
        <v>-0.60393413292885301</v>
      </c>
    </row>
    <row r="390" spans="23:31" x14ac:dyDescent="0.25">
      <c r="W390">
        <v>60</v>
      </c>
      <c r="X390">
        <v>63.06517395064602</v>
      </c>
      <c r="Y390">
        <v>-3.0651739506460203</v>
      </c>
      <c r="Z390">
        <v>-3.0732001286429735</v>
      </c>
      <c r="AA390">
        <v>2.6116678579268648E-3</v>
      </c>
      <c r="AB390">
        <v>-0.83278674551151022</v>
      </c>
      <c r="AC390">
        <v>1.6509297150899563E-4</v>
      </c>
      <c r="AD390">
        <v>-0.72448350403832318</v>
      </c>
      <c r="AE390">
        <v>-0.60254227283320261</v>
      </c>
    </row>
    <row r="391" spans="23:31" x14ac:dyDescent="0.25">
      <c r="W391">
        <v>59.8</v>
      </c>
      <c r="X391">
        <v>58.347530207047804</v>
      </c>
      <c r="Y391">
        <v>1.4524697929521935</v>
      </c>
      <c r="Z391">
        <v>1.4734692817634567</v>
      </c>
      <c r="AA391">
        <v>1.4251731658858938E-2</v>
      </c>
      <c r="AB391">
        <v>0.39694918786565975</v>
      </c>
      <c r="AC391">
        <v>2.0709936346941166E-4</v>
      </c>
      <c r="AD391">
        <v>-0.72448350403832318</v>
      </c>
      <c r="AE391">
        <v>-0.60239617561223902</v>
      </c>
    </row>
    <row r="392" spans="23:31" x14ac:dyDescent="0.25">
      <c r="W392">
        <v>59.6</v>
      </c>
      <c r="X392">
        <v>56.547244048822918</v>
      </c>
      <c r="Y392">
        <v>3.0527559511770832</v>
      </c>
      <c r="Z392">
        <v>3.1119933629755678</v>
      </c>
      <c r="AA392">
        <v>1.9035198629680079E-2</v>
      </c>
      <c r="AB392">
        <v>0.83632714743689629</v>
      </c>
      <c r="AC392">
        <v>1.2338537690123458E-3</v>
      </c>
      <c r="AD392">
        <v>-0.72448350403832318</v>
      </c>
      <c r="AE392">
        <v>-0.60045963103765965</v>
      </c>
    </row>
    <row r="393" spans="23:31" x14ac:dyDescent="0.25">
      <c r="W393">
        <v>79.5</v>
      </c>
      <c r="X393">
        <v>75.750257420337519</v>
      </c>
      <c r="Y393">
        <v>3.749742579662481</v>
      </c>
      <c r="Z393">
        <v>3.7616807844328832</v>
      </c>
      <c r="AA393">
        <v>3.1736357906286877E-3</v>
      </c>
      <c r="AB393">
        <v>1.0190664797348585</v>
      </c>
      <c r="AC393">
        <v>3.0057296634957104E-4</v>
      </c>
      <c r="AD393">
        <v>-0.71660092108895201</v>
      </c>
      <c r="AE393">
        <v>-0.59837453329141965</v>
      </c>
    </row>
    <row r="394" spans="23:31" x14ac:dyDescent="0.25">
      <c r="W394">
        <v>79.400000000000006</v>
      </c>
      <c r="X394">
        <v>75.566428472427674</v>
      </c>
      <c r="Y394">
        <v>3.8335715275723317</v>
      </c>
      <c r="Z394">
        <v>3.8461046501034417</v>
      </c>
      <c r="AA394">
        <v>3.258653539439515E-3</v>
      </c>
      <c r="AB394">
        <v>1.0418930808419591</v>
      </c>
      <c r="AC394">
        <v>3.2263340933883021E-4</v>
      </c>
      <c r="AD394">
        <v>-0.71660092108895201</v>
      </c>
      <c r="AE394">
        <v>-0.59699080332322141</v>
      </c>
    </row>
    <row r="395" spans="23:31" x14ac:dyDescent="0.25">
      <c r="W395">
        <v>79.2</v>
      </c>
      <c r="X395">
        <v>76.30047031158449</v>
      </c>
      <c r="Y395">
        <v>2.8995296884155124</v>
      </c>
      <c r="Z395">
        <v>2.9102926143902295</v>
      </c>
      <c r="AA395">
        <v>3.6982281168204895E-3</v>
      </c>
      <c r="AB395">
        <v>0.78821179332796565</v>
      </c>
      <c r="AC395">
        <v>2.0965053034821847E-4</v>
      </c>
      <c r="AD395">
        <v>-0.7126762947196924</v>
      </c>
      <c r="AE395">
        <v>-0.59697547313182575</v>
      </c>
    </row>
    <row r="396" spans="23:31" x14ac:dyDescent="0.25">
      <c r="W396">
        <v>79</v>
      </c>
      <c r="X396">
        <v>75.809834647188268</v>
      </c>
      <c r="Y396">
        <v>3.1901653528117322</v>
      </c>
      <c r="Z396">
        <v>3.2019406190697453</v>
      </c>
      <c r="AA396">
        <v>3.6775404852575589E-3</v>
      </c>
      <c r="AB396">
        <v>0.86720955397172361</v>
      </c>
      <c r="AC396">
        <v>2.5235561039652267E-4</v>
      </c>
      <c r="AD396">
        <v>-0.7126762947196924</v>
      </c>
      <c r="AE396">
        <v>-0.59636623546146772</v>
      </c>
    </row>
    <row r="397" spans="23:31" x14ac:dyDescent="0.25">
      <c r="W397">
        <v>78.099999999999994</v>
      </c>
      <c r="X397">
        <v>77.153864052960216</v>
      </c>
      <c r="Y397">
        <v>0.9461359470397781</v>
      </c>
      <c r="Z397">
        <v>0.94987821515239546</v>
      </c>
      <c r="AA397">
        <v>3.9397346448389941E-3</v>
      </c>
      <c r="AB397">
        <v>0.25722996306839674</v>
      </c>
      <c r="AC397">
        <v>2.3792045486269558E-5</v>
      </c>
      <c r="AD397">
        <v>-0.7126762947196924</v>
      </c>
      <c r="AE397">
        <v>-0.59592257243141156</v>
      </c>
    </row>
    <row r="398" spans="23:31" x14ac:dyDescent="0.25">
      <c r="W398">
        <v>79.2</v>
      </c>
      <c r="X398">
        <v>74.296437358313639</v>
      </c>
      <c r="Y398">
        <v>4.9035626416863636</v>
      </c>
      <c r="Z398">
        <v>4.9195314607672884</v>
      </c>
      <c r="AA398">
        <v>3.2460040571486949E-3</v>
      </c>
      <c r="AB398">
        <v>1.3326882080440228</v>
      </c>
      <c r="AC398">
        <v>5.2580595178322055E-4</v>
      </c>
      <c r="AD398">
        <v>-0.7126762947196924</v>
      </c>
      <c r="AE398">
        <v>-0.59548602612045631</v>
      </c>
    </row>
    <row r="399" spans="23:31" x14ac:dyDescent="0.25">
      <c r="W399">
        <v>78.900000000000006</v>
      </c>
      <c r="X399">
        <v>73.064831984953884</v>
      </c>
      <c r="Y399">
        <v>5.835168015046122</v>
      </c>
      <c r="Z399">
        <v>5.9073903092718467</v>
      </c>
      <c r="AA399">
        <v>1.222575290350596E-2</v>
      </c>
      <c r="AB399">
        <v>1.5930717482579293</v>
      </c>
      <c r="AC399">
        <v>2.8555903213908678E-3</v>
      </c>
      <c r="AD399">
        <v>-0.7126762947196924</v>
      </c>
      <c r="AE399">
        <v>-0.59531598526375906</v>
      </c>
    </row>
    <row r="400" spans="23:31" x14ac:dyDescent="0.25">
      <c r="W400">
        <v>78.900000000000006</v>
      </c>
      <c r="X400">
        <v>73.879220126264045</v>
      </c>
      <c r="Y400">
        <v>5.020779873735961</v>
      </c>
      <c r="Z400">
        <v>5.0312988692154903</v>
      </c>
      <c r="AA400">
        <v>2.0907117134095479E-3</v>
      </c>
      <c r="AB400">
        <v>1.3637553538368836</v>
      </c>
      <c r="AC400">
        <v>3.5422836895461745E-4</v>
      </c>
      <c r="AD400">
        <v>-0.70291235686137066</v>
      </c>
      <c r="AE400">
        <v>-0.59521500624505896</v>
      </c>
    </row>
    <row r="401" spans="23:31" x14ac:dyDescent="0.25">
      <c r="W401">
        <v>78</v>
      </c>
      <c r="X401">
        <v>75.417085475089166</v>
      </c>
      <c r="Y401">
        <v>2.5829145249108336</v>
      </c>
      <c r="Z401">
        <v>2.5889755712974392</v>
      </c>
      <c r="AA401">
        <v>2.3410983300875044E-3</v>
      </c>
      <c r="AB401">
        <v>0.70166499954111883</v>
      </c>
      <c r="AC401">
        <v>1.050278596827388E-4</v>
      </c>
      <c r="AD401">
        <v>-0.70291235686137066</v>
      </c>
      <c r="AE401">
        <v>-0.59349847197706707</v>
      </c>
    </row>
    <row r="402" spans="23:31" x14ac:dyDescent="0.25">
      <c r="W402">
        <v>78.599999999999994</v>
      </c>
      <c r="X402">
        <v>71.940294834252796</v>
      </c>
      <c r="Y402">
        <v>6.659705165747198</v>
      </c>
      <c r="Z402">
        <v>6.6928740735744299</v>
      </c>
      <c r="AA402">
        <v>4.9558541610991358E-3</v>
      </c>
      <c r="AB402">
        <v>1.8115263198952205</v>
      </c>
      <c r="AC402">
        <v>1.4858425128605193E-3</v>
      </c>
      <c r="AD402">
        <v>-0.70291235686137066</v>
      </c>
      <c r="AE402">
        <v>-0.58985532559043918</v>
      </c>
    </row>
    <row r="403" spans="23:31" x14ac:dyDescent="0.25">
      <c r="W403">
        <v>77.7</v>
      </c>
      <c r="X403">
        <v>73.168367022449345</v>
      </c>
      <c r="Y403">
        <v>4.5316329775506574</v>
      </c>
      <c r="Z403">
        <v>4.5869061561782303</v>
      </c>
      <c r="AA403">
        <v>1.205020917053819E-2</v>
      </c>
      <c r="AB403">
        <v>1.2370809289678149</v>
      </c>
      <c r="AC403">
        <v>1.6969273538507128E-3</v>
      </c>
      <c r="AD403">
        <v>-0.69708605805955215</v>
      </c>
      <c r="AE403">
        <v>-0.58826044742815475</v>
      </c>
    </row>
    <row r="404" spans="23:31" x14ac:dyDescent="0.25">
      <c r="W404">
        <v>78</v>
      </c>
      <c r="X404">
        <v>74.96560984332865</v>
      </c>
      <c r="Y404">
        <v>3.0343901566713498</v>
      </c>
      <c r="Z404">
        <v>3.043723215157712</v>
      </c>
      <c r="AA404">
        <v>3.0663295663282573E-3</v>
      </c>
      <c r="AB404">
        <v>0.82461097156763752</v>
      </c>
      <c r="AC404">
        <v>1.9013326193953399E-4</v>
      </c>
      <c r="AD404">
        <v>-0.69708605805955215</v>
      </c>
      <c r="AE404">
        <v>-0.58675058698811478</v>
      </c>
    </row>
    <row r="405" spans="23:31" x14ac:dyDescent="0.25">
      <c r="W405">
        <v>78.3</v>
      </c>
      <c r="X405">
        <v>72.601359819614672</v>
      </c>
      <c r="Y405">
        <v>5.6986401803853255</v>
      </c>
      <c r="Z405">
        <v>5.7111948689306615</v>
      </c>
      <c r="AA405">
        <v>2.1982595294797319E-3</v>
      </c>
      <c r="AB405">
        <v>1.54796068880135</v>
      </c>
      <c r="AC405">
        <v>4.7991229562440216E-4</v>
      </c>
      <c r="AD405">
        <v>-0.69708605805955215</v>
      </c>
      <c r="AE405">
        <v>-0.58612222054239527</v>
      </c>
    </row>
    <row r="406" spans="23:31" x14ac:dyDescent="0.25">
      <c r="W406">
        <v>77.5</v>
      </c>
      <c r="X406">
        <v>74.3165955239308</v>
      </c>
      <c r="Y406">
        <v>3.1834044760691995</v>
      </c>
      <c r="Z406">
        <v>3.192308683271591</v>
      </c>
      <c r="AA406">
        <v>2.78926886019858E-3</v>
      </c>
      <c r="AB406">
        <v>0.86498618436749075</v>
      </c>
      <c r="AC406">
        <v>1.9025193899230064E-4</v>
      </c>
      <c r="AD406">
        <v>-0.69708605805955215</v>
      </c>
      <c r="AE406">
        <v>-0.58572648042800246</v>
      </c>
    </row>
    <row r="407" spans="23:31" x14ac:dyDescent="0.25">
      <c r="W407">
        <v>77.599999999999994</v>
      </c>
      <c r="X407">
        <v>71.933801678122379</v>
      </c>
      <c r="Y407">
        <v>5.6661983218776157</v>
      </c>
      <c r="Z407">
        <v>5.6760024860111855</v>
      </c>
      <c r="AA407">
        <v>1.7273008878567709E-3</v>
      </c>
      <c r="AB407">
        <v>1.538785176883251</v>
      </c>
      <c r="AC407">
        <v>3.7246211509074255E-4</v>
      </c>
      <c r="AD407">
        <v>-0.69708605805955215</v>
      </c>
      <c r="AE407">
        <v>-0.5842213693191457</v>
      </c>
    </row>
    <row r="408" spans="23:31" x14ac:dyDescent="0.25">
      <c r="W408">
        <v>77.8</v>
      </c>
      <c r="X408">
        <v>77.374379270405655</v>
      </c>
      <c r="Y408">
        <v>0.42562072959434261</v>
      </c>
      <c r="Z408">
        <v>0.42703007248516656</v>
      </c>
      <c r="AA408">
        <v>3.3003363969755623E-3</v>
      </c>
      <c r="AB408">
        <v>0.11567817704784202</v>
      </c>
      <c r="AC408">
        <v>4.0281356212419117E-6</v>
      </c>
      <c r="AD408">
        <v>-0.68742774275107121</v>
      </c>
      <c r="AE408">
        <v>-0.58367536363541772</v>
      </c>
    </row>
    <row r="409" spans="23:31" x14ac:dyDescent="0.25">
      <c r="W409">
        <v>77.7</v>
      </c>
      <c r="X409">
        <v>77.143243773504992</v>
      </c>
      <c r="Y409">
        <v>0.55675622649501122</v>
      </c>
      <c r="Z409">
        <v>0.55872039395359252</v>
      </c>
      <c r="AA409">
        <v>3.5154747881634635E-3</v>
      </c>
      <c r="AB409">
        <v>0.15133543287055493</v>
      </c>
      <c r="AC409">
        <v>7.3451723446256753E-6</v>
      </c>
      <c r="AD409">
        <v>-0.68742774275107121</v>
      </c>
      <c r="AE409">
        <v>-0.57765499909071061</v>
      </c>
    </row>
    <row r="410" spans="23:31" x14ac:dyDescent="0.25">
      <c r="W410">
        <v>77.099999999999994</v>
      </c>
      <c r="X410">
        <v>78.387710957133692</v>
      </c>
      <c r="Y410">
        <v>-1.2877109571336973</v>
      </c>
      <c r="Z410">
        <v>-1.2924679722329699</v>
      </c>
      <c r="AA410">
        <v>3.6805671022188454E-3</v>
      </c>
      <c r="AB410">
        <v>-0.35004986182688813</v>
      </c>
      <c r="AC410">
        <v>4.115127302463907E-5</v>
      </c>
      <c r="AD410">
        <v>-0.68742774275107121</v>
      </c>
      <c r="AE410">
        <v>-0.57379526557946814</v>
      </c>
    </row>
    <row r="411" spans="23:31" x14ac:dyDescent="0.25">
      <c r="W411">
        <v>77</v>
      </c>
      <c r="X411">
        <v>78.161812954523853</v>
      </c>
      <c r="Y411">
        <v>-1.1618129545238531</v>
      </c>
      <c r="Z411">
        <v>-1.1666835260866577</v>
      </c>
      <c r="AA411">
        <v>4.1747152967411359E-3</v>
      </c>
      <c r="AB411">
        <v>-0.31590424376859916</v>
      </c>
      <c r="AC411">
        <v>3.8033119608749391E-5</v>
      </c>
      <c r="AD411">
        <v>-0.68742774275107121</v>
      </c>
      <c r="AE411">
        <v>-0.57348591054668108</v>
      </c>
    </row>
    <row r="412" spans="23:31" x14ac:dyDescent="0.25">
      <c r="W412">
        <v>76.599999999999994</v>
      </c>
      <c r="X412">
        <v>75.01219338227115</v>
      </c>
      <c r="Y412">
        <v>1.5878066177288446</v>
      </c>
      <c r="Z412">
        <v>1.6038966105082721</v>
      </c>
      <c r="AA412">
        <v>1.0031814191773651E-2</v>
      </c>
      <c r="AB412">
        <v>0.43300988288473446</v>
      </c>
      <c r="AC412">
        <v>1.7272737530280868E-4</v>
      </c>
      <c r="AD412">
        <v>-0.68742774275107121</v>
      </c>
      <c r="AE412">
        <v>-0.57072732600066878</v>
      </c>
    </row>
    <row r="413" spans="23:31" x14ac:dyDescent="0.25">
      <c r="W413">
        <v>76.3</v>
      </c>
      <c r="X413">
        <v>75.7906591086834</v>
      </c>
      <c r="Y413">
        <v>0.50934089131659732</v>
      </c>
      <c r="Z413">
        <v>0.51400159825399783</v>
      </c>
      <c r="AA413">
        <v>9.0674950296574484E-3</v>
      </c>
      <c r="AB413">
        <v>0.13883447639776153</v>
      </c>
      <c r="AC413">
        <v>1.6034123335956166E-5</v>
      </c>
      <c r="AD413">
        <v>-0.68742774275107121</v>
      </c>
      <c r="AE413">
        <v>-0.57068006855793985</v>
      </c>
    </row>
    <row r="414" spans="23:31" x14ac:dyDescent="0.25">
      <c r="W414">
        <v>76</v>
      </c>
      <c r="X414">
        <v>76.21264901139466</v>
      </c>
      <c r="Y414">
        <v>-0.21264901139466019</v>
      </c>
      <c r="Z414">
        <v>-0.21338371448256055</v>
      </c>
      <c r="AA414">
        <v>3.4431075946203286E-3</v>
      </c>
      <c r="AB414">
        <v>-5.7799374621946661E-2</v>
      </c>
      <c r="AC414">
        <v>1.0493058422563929E-6</v>
      </c>
      <c r="AD414">
        <v>-0.68742774275107121</v>
      </c>
      <c r="AE414">
        <v>-0.57062698542277857</v>
      </c>
    </row>
    <row r="415" spans="23:31" x14ac:dyDescent="0.25">
      <c r="W415">
        <v>75.8</v>
      </c>
      <c r="X415">
        <v>75.898165704108436</v>
      </c>
      <c r="Y415">
        <v>-9.8165704108438945E-2</v>
      </c>
      <c r="Z415">
        <v>-9.8526473079488142E-2</v>
      </c>
      <c r="AA415">
        <v>3.6616450358190316E-3</v>
      </c>
      <c r="AB415">
        <v>-2.6684998418414815E-2</v>
      </c>
      <c r="AC415">
        <v>2.3790910840622155E-7</v>
      </c>
      <c r="AD415">
        <v>-0.67401274003943057</v>
      </c>
      <c r="AE415">
        <v>-0.5703518293797899</v>
      </c>
    </row>
    <row r="416" spans="23:31" x14ac:dyDescent="0.25">
      <c r="W416">
        <v>83</v>
      </c>
      <c r="X416">
        <v>77.777085187068991</v>
      </c>
      <c r="Y416">
        <v>5.222914812931009</v>
      </c>
      <c r="Z416">
        <v>5.2503961572552527</v>
      </c>
      <c r="AA416">
        <v>5.2341468150499289E-3</v>
      </c>
      <c r="AB416">
        <v>1.4208993904341938</v>
      </c>
      <c r="AC416">
        <v>9.6573729166590664E-4</v>
      </c>
      <c r="AD416">
        <v>-0.67401274003943057</v>
      </c>
      <c r="AE416">
        <v>-0.56824076762837994</v>
      </c>
    </row>
    <row r="417" spans="23:31" x14ac:dyDescent="0.25">
      <c r="W417">
        <v>81</v>
      </c>
      <c r="X417">
        <v>76.71565155136058</v>
      </c>
      <c r="Y417">
        <v>4.2843484486394203</v>
      </c>
      <c r="Z417">
        <v>4.2985673735395125</v>
      </c>
      <c r="AA417">
        <v>3.3078287867770468E-3</v>
      </c>
      <c r="AB417">
        <v>1.1644345463207886</v>
      </c>
      <c r="AC417">
        <v>4.0909055560260101E-4</v>
      </c>
      <c r="AD417">
        <v>-0.67401274003943057</v>
      </c>
      <c r="AE417">
        <v>-0.56421227083367598</v>
      </c>
    </row>
    <row r="418" spans="23:31" x14ac:dyDescent="0.25">
      <c r="W418">
        <v>80</v>
      </c>
      <c r="X418">
        <v>77.407448525657429</v>
      </c>
      <c r="Y418">
        <v>2.5925514743425708</v>
      </c>
      <c r="Z418">
        <v>2.6011758962874438</v>
      </c>
      <c r="AA418">
        <v>3.315585830691894E-3</v>
      </c>
      <c r="AB418">
        <v>0.70462715244993546</v>
      </c>
      <c r="AC418">
        <v>1.5015115313220899E-4</v>
      </c>
      <c r="AD418">
        <v>-0.67401274003943057</v>
      </c>
      <c r="AE418">
        <v>-0.56266847277919141</v>
      </c>
    </row>
    <row r="419" spans="23:31" x14ac:dyDescent="0.25">
      <c r="W419">
        <v>79.7</v>
      </c>
      <c r="X419">
        <v>77.466031175350182</v>
      </c>
      <c r="Y419">
        <v>2.2339688246498213</v>
      </c>
      <c r="Z419">
        <v>2.2416273721598543</v>
      </c>
      <c r="AA419">
        <v>3.416512309381857E-3</v>
      </c>
      <c r="AB419">
        <v>0.60719905174637678</v>
      </c>
      <c r="AC419">
        <v>1.1490496289427703E-4</v>
      </c>
      <c r="AD419">
        <v>-0.6664012884495929</v>
      </c>
      <c r="AE419">
        <v>-0.56252790388842455</v>
      </c>
    </row>
    <row r="420" spans="23:31" x14ac:dyDescent="0.25">
      <c r="W420">
        <v>79.5</v>
      </c>
      <c r="X420">
        <v>77.14268125199402</v>
      </c>
      <c r="Y420">
        <v>2.3573187480059801</v>
      </c>
      <c r="Z420">
        <v>2.3662452287809543</v>
      </c>
      <c r="AA420">
        <v>3.772424204559836E-3</v>
      </c>
      <c r="AB420">
        <v>0.64084035269494422</v>
      </c>
      <c r="AC420">
        <v>1.4137381580552971E-4</v>
      </c>
      <c r="AD420">
        <v>-0.6664012884495929</v>
      </c>
      <c r="AE420">
        <v>-0.55804172877298741</v>
      </c>
    </row>
    <row r="421" spans="23:31" x14ac:dyDescent="0.25">
      <c r="W421">
        <v>79.3</v>
      </c>
      <c r="X421">
        <v>77.618249515486227</v>
      </c>
      <c r="Y421">
        <v>1.6817504845137705</v>
      </c>
      <c r="Z421">
        <v>1.6892355033496642</v>
      </c>
      <c r="AA421">
        <v>4.4310096615037802E-3</v>
      </c>
      <c r="AB421">
        <v>0.45733738170439736</v>
      </c>
      <c r="AC421">
        <v>8.4627605535599054E-5</v>
      </c>
      <c r="AD421">
        <v>-0.6664012884495929</v>
      </c>
      <c r="AE421">
        <v>-0.55603737479315984</v>
      </c>
    </row>
    <row r="422" spans="23:31" x14ac:dyDescent="0.25">
      <c r="W422">
        <v>79.099999999999994</v>
      </c>
      <c r="X422">
        <v>75.975921124124028</v>
      </c>
      <c r="Y422">
        <v>3.1240788758759663</v>
      </c>
      <c r="Z422">
        <v>3.1392442842706174</v>
      </c>
      <c r="AA422">
        <v>4.8309105699881425E-3</v>
      </c>
      <c r="AB422">
        <v>0.84973669118988637</v>
      </c>
      <c r="AC422">
        <v>3.1864578433463695E-4</v>
      </c>
      <c r="AD422">
        <v>-0.66071795340131467</v>
      </c>
      <c r="AE422">
        <v>-0.55586712511588254</v>
      </c>
    </row>
    <row r="423" spans="23:31" x14ac:dyDescent="0.25">
      <c r="W423">
        <v>78.900000000000006</v>
      </c>
      <c r="X423">
        <v>76.470292063351152</v>
      </c>
      <c r="Y423">
        <v>2.4297079366488532</v>
      </c>
      <c r="Z423">
        <v>2.4391202071541187</v>
      </c>
      <c r="AA423">
        <v>3.8588793113428412E-3</v>
      </c>
      <c r="AB423">
        <v>0.66054811608768793</v>
      </c>
      <c r="AC423">
        <v>1.5365848934789956E-4</v>
      </c>
      <c r="AD423">
        <v>-0.66071795340131467</v>
      </c>
      <c r="AE423">
        <v>-0.55471279421708752</v>
      </c>
    </row>
    <row r="424" spans="23:31" x14ac:dyDescent="0.25">
      <c r="W424">
        <v>78.8</v>
      </c>
      <c r="X424">
        <v>76.142626612375366</v>
      </c>
      <c r="Y424">
        <v>2.6573733876246308</v>
      </c>
      <c r="Z424">
        <v>2.6676539205789283</v>
      </c>
      <c r="AA424">
        <v>3.8537731131428324E-3</v>
      </c>
      <c r="AB424">
        <v>0.72244011702129129</v>
      </c>
      <c r="AC424">
        <v>1.8355831888581967E-4</v>
      </c>
      <c r="AD424">
        <v>-0.66071795340131467</v>
      </c>
      <c r="AE424">
        <v>-0.55257440820823867</v>
      </c>
    </row>
    <row r="425" spans="23:31" x14ac:dyDescent="0.25">
      <c r="W425">
        <v>78.7</v>
      </c>
      <c r="X425">
        <v>76.13633157088185</v>
      </c>
      <c r="Y425">
        <v>2.5636684291181524</v>
      </c>
      <c r="Z425">
        <v>2.5731527856135301</v>
      </c>
      <c r="AA425">
        <v>3.6858893682520065E-3</v>
      </c>
      <c r="AB425">
        <v>0.69690653121736212</v>
      </c>
      <c r="AC425">
        <v>1.6334370369053852E-4</v>
      </c>
      <c r="AD425">
        <v>-0.66071795340131467</v>
      </c>
      <c r="AE425">
        <v>-0.551265499577686</v>
      </c>
    </row>
    <row r="426" spans="23:31" x14ac:dyDescent="0.25">
      <c r="W426">
        <v>78.599999999999994</v>
      </c>
      <c r="X426">
        <v>75.85673813441251</v>
      </c>
      <c r="Y426">
        <v>2.7432618655874847</v>
      </c>
      <c r="Z426">
        <v>2.7572175654895403</v>
      </c>
      <c r="AA426">
        <v>5.0615156659122029E-3</v>
      </c>
      <c r="AB426">
        <v>0.74624248653001179</v>
      </c>
      <c r="AC426">
        <v>2.5754410490410484E-4</v>
      </c>
      <c r="AD426">
        <v>-0.66071795340131467</v>
      </c>
      <c r="AE426">
        <v>-0.55026299922804423</v>
      </c>
    </row>
    <row r="427" spans="23:31" x14ac:dyDescent="0.25">
      <c r="W427">
        <v>78.5</v>
      </c>
      <c r="X427">
        <v>74.969508920798646</v>
      </c>
      <c r="Y427">
        <v>3.5304910792013544</v>
      </c>
      <c r="Z427">
        <v>3.5455065786918709</v>
      </c>
      <c r="AA427">
        <v>4.2350787277496528E-3</v>
      </c>
      <c r="AB427">
        <v>0.95999180797365369</v>
      </c>
      <c r="AC427">
        <v>3.5632560732111647E-4</v>
      </c>
      <c r="AD427">
        <v>-0.66071795340131467</v>
      </c>
      <c r="AE427">
        <v>-0.5494808262065678</v>
      </c>
    </row>
    <row r="428" spans="23:31" x14ac:dyDescent="0.25">
      <c r="W428">
        <v>78.400000000000006</v>
      </c>
      <c r="X428">
        <v>74.64241348625626</v>
      </c>
      <c r="Y428">
        <v>3.7575865137437461</v>
      </c>
      <c r="Z428">
        <v>3.7765511339464553</v>
      </c>
      <c r="AA428">
        <v>5.0216770619731232E-3</v>
      </c>
      <c r="AB428">
        <v>1.0221461541631578</v>
      </c>
      <c r="AC428">
        <v>4.7936737570025223E-4</v>
      </c>
      <c r="AD428">
        <v>-0.64941472986293491</v>
      </c>
      <c r="AE428">
        <v>-0.54920345459163633</v>
      </c>
    </row>
    <row r="429" spans="23:31" x14ac:dyDescent="0.25">
      <c r="W429">
        <v>78.2</v>
      </c>
      <c r="X429">
        <v>74.088110886767225</v>
      </c>
      <c r="Y429">
        <v>4.1118891132327775</v>
      </c>
      <c r="Z429">
        <v>4.1303221586374264</v>
      </c>
      <c r="AA429">
        <v>4.4628589966277422E-3</v>
      </c>
      <c r="AB429">
        <v>1.1182102808313448</v>
      </c>
      <c r="AC429">
        <v>5.0957718460578746E-4</v>
      </c>
      <c r="AD429">
        <v>-0.64941472986293491</v>
      </c>
      <c r="AE429">
        <v>-0.54563555076274006</v>
      </c>
    </row>
    <row r="430" spans="23:31" x14ac:dyDescent="0.25">
      <c r="W430">
        <v>78.099999999999994</v>
      </c>
      <c r="X430">
        <v>75.707099936713504</v>
      </c>
      <c r="Y430">
        <v>2.3929000632864899</v>
      </c>
      <c r="Z430">
        <v>2.4031784098719413</v>
      </c>
      <c r="AA430">
        <v>4.2769802455084553E-3</v>
      </c>
      <c r="AB430">
        <v>0.65067797654040371</v>
      </c>
      <c r="AC430">
        <v>1.6532488395384781E-4</v>
      </c>
      <c r="AD430">
        <v>-0.64941472986293491</v>
      </c>
      <c r="AE430">
        <v>-0.54535854711514486</v>
      </c>
    </row>
    <row r="431" spans="23:31" x14ac:dyDescent="0.25">
      <c r="W431">
        <v>63</v>
      </c>
      <c r="X431">
        <v>60.223223316723242</v>
      </c>
      <c r="Y431">
        <v>2.7767766832767578</v>
      </c>
      <c r="Z431">
        <v>2.7957499372175789</v>
      </c>
      <c r="AA431">
        <v>6.7864631554658637E-3</v>
      </c>
      <c r="AB431">
        <v>0.7560150809664703</v>
      </c>
      <c r="AC431">
        <v>3.5503330730973423E-4</v>
      </c>
      <c r="AD431">
        <v>-0.64941472986293491</v>
      </c>
      <c r="AE431">
        <v>-0.54492303901699002</v>
      </c>
    </row>
    <row r="432" spans="23:31" x14ac:dyDescent="0.25">
      <c r="W432">
        <v>62.7</v>
      </c>
      <c r="X432">
        <v>60.793984411656787</v>
      </c>
      <c r="Y432">
        <v>1.9060155883432159</v>
      </c>
      <c r="Z432">
        <v>1.920107342909013</v>
      </c>
      <c r="AA432">
        <v>7.3390451934061346E-3</v>
      </c>
      <c r="AB432">
        <v>0.5190829909321637</v>
      </c>
      <c r="AC432">
        <v>1.8110045184703037E-4</v>
      </c>
      <c r="AD432">
        <v>-0.64941472986293491</v>
      </c>
      <c r="AE432">
        <v>-0.54386516022681963</v>
      </c>
    </row>
    <row r="433" spans="23:31" x14ac:dyDescent="0.25">
      <c r="W433">
        <v>62.2</v>
      </c>
      <c r="X433">
        <v>60.650717231290749</v>
      </c>
      <c r="Y433">
        <v>1.5492827687092543</v>
      </c>
      <c r="Z433">
        <v>1.5603757942681398</v>
      </c>
      <c r="AA433">
        <v>7.1092012575645356E-3</v>
      </c>
      <c r="AB433">
        <v>0.42188177798402027</v>
      </c>
      <c r="AC433">
        <v>1.1585323710703773E-4</v>
      </c>
      <c r="AD433">
        <v>-0.64941472986293491</v>
      </c>
      <c r="AE433">
        <v>-0.54348383215078855</v>
      </c>
    </row>
    <row r="434" spans="23:31" x14ac:dyDescent="0.25">
      <c r="W434">
        <v>61.8</v>
      </c>
      <c r="X434">
        <v>59.760909979603717</v>
      </c>
      <c r="Y434">
        <v>2.0390900203962801</v>
      </c>
      <c r="Z434">
        <v>2.0548409273934567</v>
      </c>
      <c r="AA434">
        <v>7.6652682877768651E-3</v>
      </c>
      <c r="AB434">
        <v>0.55541566338701276</v>
      </c>
      <c r="AC434">
        <v>2.1662707180082052E-4</v>
      </c>
      <c r="AD434">
        <v>-0.64941472986293491</v>
      </c>
      <c r="AE434">
        <v>-0.54347004836467316</v>
      </c>
    </row>
    <row r="435" spans="23:31" x14ac:dyDescent="0.25">
      <c r="W435">
        <v>61.3</v>
      </c>
      <c r="X435">
        <v>59.104186539922914</v>
      </c>
      <c r="Y435">
        <v>2.1958134600770833</v>
      </c>
      <c r="Z435">
        <v>2.2149343234365375</v>
      </c>
      <c r="AA435">
        <v>8.6326999212280701E-3</v>
      </c>
      <c r="AB435">
        <v>0.59839639444481885</v>
      </c>
      <c r="AC435">
        <v>2.8346360500499952E-4</v>
      </c>
      <c r="AD435">
        <v>-0.63633155866502356</v>
      </c>
      <c r="AE435">
        <v>-0.54285162673452891</v>
      </c>
    </row>
    <row r="436" spans="23:31" x14ac:dyDescent="0.25">
      <c r="W436">
        <v>69</v>
      </c>
      <c r="X436">
        <v>58.674921798474408</v>
      </c>
      <c r="Y436">
        <v>10.325078201525592</v>
      </c>
      <c r="Z436">
        <v>10.415407680323185</v>
      </c>
      <c r="AA436">
        <v>8.672678167773137E-3</v>
      </c>
      <c r="AB436">
        <v>2.8138155914843401</v>
      </c>
      <c r="AC436">
        <v>6.2970150755992061E-3</v>
      </c>
      <c r="AD436">
        <v>-0.63633155866502356</v>
      </c>
      <c r="AE436">
        <v>-0.54208773798866816</v>
      </c>
    </row>
    <row r="437" spans="23:31" x14ac:dyDescent="0.25">
      <c r="W437">
        <v>62</v>
      </c>
      <c r="X437">
        <v>58.070284914433337</v>
      </c>
      <c r="Y437">
        <v>3.9297150855666629</v>
      </c>
      <c r="Z437">
        <v>3.9671321419246723</v>
      </c>
      <c r="AA437">
        <v>9.4317645642770093E-3</v>
      </c>
      <c r="AB437">
        <v>1.0713458345943756</v>
      </c>
      <c r="AC437">
        <v>9.9351685584757863E-4</v>
      </c>
      <c r="AD437">
        <v>-0.63633155866502356</v>
      </c>
      <c r="AE437">
        <v>-0.54105963833686244</v>
      </c>
    </row>
    <row r="438" spans="23:31" x14ac:dyDescent="0.25">
      <c r="W438">
        <v>59.8</v>
      </c>
      <c r="X438">
        <v>56.102215862221001</v>
      </c>
      <c r="Y438">
        <v>3.6977841377789957</v>
      </c>
      <c r="Z438">
        <v>3.7332861869665379</v>
      </c>
      <c r="AA438">
        <v>9.5095975528172831E-3</v>
      </c>
      <c r="AB438">
        <v>1.0081548397039684</v>
      </c>
      <c r="AC438">
        <v>8.8710220696313626E-4</v>
      </c>
      <c r="AD438">
        <v>-0.63633155866502356</v>
      </c>
      <c r="AE438">
        <v>-0.53712351975119133</v>
      </c>
    </row>
    <row r="439" spans="23:31" x14ac:dyDescent="0.25">
      <c r="W439">
        <v>73.599999999999994</v>
      </c>
      <c r="X439">
        <v>73.047261078236389</v>
      </c>
      <c r="Y439">
        <v>0.55273892176360562</v>
      </c>
      <c r="Z439">
        <v>0.55374395275821087</v>
      </c>
      <c r="AA439">
        <v>1.8149742125487156E-3</v>
      </c>
      <c r="AB439">
        <v>0.15011543247691506</v>
      </c>
      <c r="AC439">
        <v>3.7249239187582421E-6</v>
      </c>
      <c r="AD439">
        <v>-0.62890421763218984</v>
      </c>
      <c r="AE439">
        <v>-0.53549072544473897</v>
      </c>
    </row>
    <row r="440" spans="23:31" x14ac:dyDescent="0.25">
      <c r="W440">
        <v>73.400000000000006</v>
      </c>
      <c r="X440">
        <v>72.275008702157578</v>
      </c>
      <c r="Y440">
        <v>1.1249912978424277</v>
      </c>
      <c r="Z440">
        <v>1.1272606640455791</v>
      </c>
      <c r="AA440">
        <v>2.0131689816981838E-3</v>
      </c>
      <c r="AB440">
        <v>0.30556075736323846</v>
      </c>
      <c r="AC440">
        <v>1.7122133944625329E-5</v>
      </c>
      <c r="AD440">
        <v>-0.62890421763218984</v>
      </c>
      <c r="AE440">
        <v>-0.53478282651414055</v>
      </c>
    </row>
    <row r="441" spans="23:31" x14ac:dyDescent="0.25">
      <c r="W441">
        <v>72.099999999999994</v>
      </c>
      <c r="X441">
        <v>72.161592316901633</v>
      </c>
      <c r="Y441">
        <v>-6.1592316901638355E-2</v>
      </c>
      <c r="Z441">
        <v>-6.1701262560760028E-2</v>
      </c>
      <c r="AA441">
        <v>1.7656957831646677E-3</v>
      </c>
      <c r="AB441">
        <v>-1.6727117823621275E-2</v>
      </c>
      <c r="AC441">
        <v>4.499175524646184E-8</v>
      </c>
      <c r="AD441">
        <v>-0.62890421763218984</v>
      </c>
      <c r="AE441">
        <v>-0.53384467441402994</v>
      </c>
    </row>
    <row r="442" spans="23:31" x14ac:dyDescent="0.25">
      <c r="W442">
        <v>73.099999999999994</v>
      </c>
      <c r="X442">
        <v>74.698139557505229</v>
      </c>
      <c r="Y442">
        <v>-1.5981395575052346</v>
      </c>
      <c r="Z442">
        <v>-1.6023651598785591</v>
      </c>
      <c r="AA442">
        <v>2.6371032515753196E-3</v>
      </c>
      <c r="AB442">
        <v>-0.43420909649710243</v>
      </c>
      <c r="AC442">
        <v>4.5318870395833758E-5</v>
      </c>
      <c r="AD442">
        <v>-0.62335641379693996</v>
      </c>
      <c r="AE442">
        <v>-0.53352553280423143</v>
      </c>
    </row>
    <row r="443" spans="23:31" x14ac:dyDescent="0.25">
      <c r="W443">
        <v>72.7</v>
      </c>
      <c r="X443">
        <v>71.714700482931818</v>
      </c>
      <c r="Y443">
        <v>0.98529951706818508</v>
      </c>
      <c r="Z443">
        <v>0.98673245285726807</v>
      </c>
      <c r="AA443">
        <v>1.452202960320908E-3</v>
      </c>
      <c r="AB443">
        <v>0.26754365820467674</v>
      </c>
      <c r="AC443">
        <v>9.463572132424801E-6</v>
      </c>
      <c r="AD443">
        <v>-0.62335641379693996</v>
      </c>
      <c r="AE443">
        <v>-0.53304470554957861</v>
      </c>
    </row>
    <row r="444" spans="23:31" x14ac:dyDescent="0.25">
      <c r="W444">
        <v>73.599999999999994</v>
      </c>
      <c r="X444">
        <v>71.505855151918709</v>
      </c>
      <c r="Y444">
        <v>2.0941448480812852</v>
      </c>
      <c r="Z444">
        <v>2.0972506071836392</v>
      </c>
      <c r="AA444">
        <v>1.4808717144808173E-3</v>
      </c>
      <c r="AB444">
        <v>0.56864253641570972</v>
      </c>
      <c r="AC444">
        <v>4.359604080761239E-5</v>
      </c>
      <c r="AD444">
        <v>-0.62335641379693996</v>
      </c>
      <c r="AE444">
        <v>-0.53126735202544939</v>
      </c>
    </row>
    <row r="445" spans="23:31" x14ac:dyDescent="0.25">
      <c r="W445">
        <v>73.3</v>
      </c>
      <c r="X445">
        <v>70.912613276802531</v>
      </c>
      <c r="Y445">
        <v>2.3873867231974657</v>
      </c>
      <c r="Z445">
        <v>2.3914640269271104</v>
      </c>
      <c r="AA445">
        <v>1.704940439718773E-3</v>
      </c>
      <c r="AB445">
        <v>0.64834196573578573</v>
      </c>
      <c r="AC445">
        <v>6.5262825432748994E-5</v>
      </c>
      <c r="AD445">
        <v>-0.62335641379693996</v>
      </c>
      <c r="AE445">
        <v>-0.5307646559671102</v>
      </c>
    </row>
    <row r="446" spans="23:31" x14ac:dyDescent="0.25">
      <c r="W446">
        <v>72.900000000000006</v>
      </c>
      <c r="X446">
        <v>68.955359461343676</v>
      </c>
      <c r="Y446">
        <v>3.9446405386563299</v>
      </c>
      <c r="Z446">
        <v>3.9619076941470581</v>
      </c>
      <c r="AA446">
        <v>4.3582932323837763E-3</v>
      </c>
      <c r="AB446">
        <v>1.0726714293457857</v>
      </c>
      <c r="AC446">
        <v>4.578825657498742E-4</v>
      </c>
      <c r="AD446">
        <v>-0.62335641379693996</v>
      </c>
      <c r="AE446">
        <v>-0.53014702266657565</v>
      </c>
    </row>
    <row r="447" spans="23:31" x14ac:dyDescent="0.25">
      <c r="W447">
        <v>72.3</v>
      </c>
      <c r="X447">
        <v>70.295459510838583</v>
      </c>
      <c r="Y447">
        <v>2.004540489161414</v>
      </c>
      <c r="Z447">
        <v>2.0075074302792899</v>
      </c>
      <c r="AA447">
        <v>1.4779228575354773E-3</v>
      </c>
      <c r="AB447">
        <v>0.54431063162033655</v>
      </c>
      <c r="AC447">
        <v>3.9865300641737178E-5</v>
      </c>
      <c r="AD447">
        <v>-0.62335641379693996</v>
      </c>
      <c r="AE447">
        <v>-0.52652527767042612</v>
      </c>
    </row>
    <row r="448" spans="23:31" x14ac:dyDescent="0.25">
      <c r="W448">
        <v>69.7</v>
      </c>
      <c r="X448">
        <v>72.756566488912043</v>
      </c>
      <c r="Y448">
        <v>-3.0565664889120399</v>
      </c>
      <c r="Z448">
        <v>-3.064572499438853</v>
      </c>
      <c r="AA448">
        <v>2.6124395909326486E-3</v>
      </c>
      <c r="AB448">
        <v>-0.83044847845828462</v>
      </c>
      <c r="AC448">
        <v>1.6421582698442601E-4</v>
      </c>
      <c r="AD448">
        <v>-0.62335641379693996</v>
      </c>
      <c r="AE448">
        <v>-0.52624239518570237</v>
      </c>
    </row>
    <row r="449" spans="23:31" x14ac:dyDescent="0.25">
      <c r="W449">
        <v>69.3</v>
      </c>
      <c r="X449">
        <v>69.022890425097742</v>
      </c>
      <c r="Y449">
        <v>0.27710957490225496</v>
      </c>
      <c r="Z449">
        <v>0.27752716184411952</v>
      </c>
      <c r="AA449">
        <v>1.5046705306068055E-3</v>
      </c>
      <c r="AB449">
        <v>7.5247024846865518E-2</v>
      </c>
      <c r="AC449">
        <v>7.7567779430819586E-7</v>
      </c>
      <c r="AD449">
        <v>-0.62335641379693996</v>
      </c>
      <c r="AE449">
        <v>-0.52586300520566076</v>
      </c>
    </row>
    <row r="450" spans="23:31" x14ac:dyDescent="0.25">
      <c r="W450">
        <v>73</v>
      </c>
      <c r="X450">
        <v>72.299195924514279</v>
      </c>
      <c r="Y450">
        <v>0.70080407548572055</v>
      </c>
      <c r="Z450">
        <v>0.70263149887870213</v>
      </c>
      <c r="AA450">
        <v>2.6008275972443325E-3</v>
      </c>
      <c r="AB450">
        <v>0.19040262742228592</v>
      </c>
      <c r="AC450">
        <v>8.5940079322700881E-6</v>
      </c>
      <c r="AD450">
        <v>-0.62335641379693996</v>
      </c>
      <c r="AE450">
        <v>-0.5243418785533448</v>
      </c>
    </row>
    <row r="451" spans="23:31" x14ac:dyDescent="0.25">
      <c r="W451">
        <v>71.400000000000006</v>
      </c>
      <c r="X451">
        <v>68.988142179882843</v>
      </c>
      <c r="Y451">
        <v>2.411857820117163</v>
      </c>
      <c r="Z451">
        <v>2.4146866479747473</v>
      </c>
      <c r="AA451">
        <v>1.171509297060029E-3</v>
      </c>
      <c r="AB451">
        <v>0.65481265125719568</v>
      </c>
      <c r="AC451">
        <v>4.5718950853295167E-5</v>
      </c>
      <c r="AD451">
        <v>-0.62335641379693996</v>
      </c>
      <c r="AE451">
        <v>-0.52273450713940428</v>
      </c>
    </row>
    <row r="452" spans="23:31" x14ac:dyDescent="0.25">
      <c r="W452">
        <v>71.2</v>
      </c>
      <c r="X452">
        <v>68.831385465971579</v>
      </c>
      <c r="Y452">
        <v>2.3686145340284241</v>
      </c>
      <c r="Z452">
        <v>2.3715052088396646</v>
      </c>
      <c r="AA452">
        <v>1.2189198659441885E-3</v>
      </c>
      <c r="AB452">
        <v>0.64308748268531646</v>
      </c>
      <c r="AC452">
        <v>4.5883049651642675E-5</v>
      </c>
      <c r="AD452">
        <v>-0.62335641379693996</v>
      </c>
      <c r="AE452">
        <v>-0.51666556197871616</v>
      </c>
    </row>
    <row r="453" spans="23:31" x14ac:dyDescent="0.25">
      <c r="W453">
        <v>72</v>
      </c>
      <c r="X453">
        <v>68.840772168307623</v>
      </c>
      <c r="Y453">
        <v>3.1592278316923768</v>
      </c>
      <c r="Z453">
        <v>3.1630623494254593</v>
      </c>
      <c r="AA453">
        <v>1.2122801606404437E-3</v>
      </c>
      <c r="AB453">
        <v>0.85773902478253283</v>
      </c>
      <c r="AC453">
        <v>8.1179703007854678E-5</v>
      </c>
      <c r="AD453">
        <v>-0.60317578841021124</v>
      </c>
      <c r="AE453">
        <v>-0.51646901017457802</v>
      </c>
    </row>
    <row r="454" spans="23:31" x14ac:dyDescent="0.25">
      <c r="W454">
        <v>76</v>
      </c>
      <c r="X454">
        <v>74.466389178423157</v>
      </c>
      <c r="Y454">
        <v>1.5336108215768434</v>
      </c>
      <c r="Z454">
        <v>1.5379476130870415</v>
      </c>
      <c r="AA454">
        <v>2.8198564588927492E-3</v>
      </c>
      <c r="AB454">
        <v>0.41671503827760487</v>
      </c>
      <c r="AC454">
        <v>4.4641526979985604E-5</v>
      </c>
      <c r="AD454">
        <v>-0.60317578841021124</v>
      </c>
      <c r="AE454">
        <v>-0.5130828268369193</v>
      </c>
    </row>
    <row r="455" spans="23:31" x14ac:dyDescent="0.25">
      <c r="W455">
        <v>76</v>
      </c>
      <c r="X455">
        <v>73.709611375062337</v>
      </c>
      <c r="Y455">
        <v>2.2903886249376626</v>
      </c>
      <c r="Z455">
        <v>2.2939926756013307</v>
      </c>
      <c r="AA455">
        <v>1.5710820274207247E-3</v>
      </c>
      <c r="AB455">
        <v>0.62195852158022313</v>
      </c>
      <c r="AC455">
        <v>5.5336523244021794E-5</v>
      </c>
      <c r="AD455">
        <v>-0.60317578841021124</v>
      </c>
      <c r="AE455">
        <v>-0.51056020975300942</v>
      </c>
    </row>
    <row r="456" spans="23:31" x14ac:dyDescent="0.25">
      <c r="W456">
        <v>75.5</v>
      </c>
      <c r="X456">
        <v>73.319026194074908</v>
      </c>
      <c r="Y456">
        <v>2.1809738059250918</v>
      </c>
      <c r="Z456">
        <v>2.1838471883716579</v>
      </c>
      <c r="AA456">
        <v>1.315743364219756E-3</v>
      </c>
      <c r="AB456">
        <v>0.59217104452789693</v>
      </c>
      <c r="AC456">
        <v>4.1999549803812987E-5</v>
      </c>
      <c r="AD456">
        <v>-0.60317578841021124</v>
      </c>
      <c r="AE456">
        <v>-0.5092158257277275</v>
      </c>
    </row>
    <row r="457" spans="23:31" x14ac:dyDescent="0.25">
      <c r="W457">
        <v>75.3</v>
      </c>
      <c r="X457">
        <v>73.16816732835062</v>
      </c>
      <c r="Y457">
        <v>2.1318326716493772</v>
      </c>
      <c r="Z457">
        <v>2.1342354224192093</v>
      </c>
      <c r="AA457">
        <v>1.1258133683806416E-3</v>
      </c>
      <c r="AB457">
        <v>0.57877336763565912</v>
      </c>
      <c r="AC457">
        <v>3.432258614270861E-5</v>
      </c>
      <c r="AD457">
        <v>-0.60317578841021124</v>
      </c>
      <c r="AE457">
        <v>-0.50719849443342624</v>
      </c>
    </row>
    <row r="458" spans="23:31" x14ac:dyDescent="0.25">
      <c r="W458">
        <v>75</v>
      </c>
      <c r="X458">
        <v>71.29887163738033</v>
      </c>
      <c r="Y458">
        <v>3.70112836261967</v>
      </c>
      <c r="Z458">
        <v>3.717077846648067</v>
      </c>
      <c r="AA458">
        <v>4.290866289705899E-3</v>
      </c>
      <c r="AB458">
        <v>1.0064187566096869</v>
      </c>
      <c r="AC458">
        <v>3.9680510382415459E-4</v>
      </c>
      <c r="AD458">
        <v>-0.60317578841021124</v>
      </c>
      <c r="AE458">
        <v>-0.50595285368432052</v>
      </c>
    </row>
    <row r="459" spans="23:31" x14ac:dyDescent="0.25">
      <c r="W459">
        <v>75.099999999999994</v>
      </c>
      <c r="X459">
        <v>71.218087255037588</v>
      </c>
      <c r="Y459">
        <v>3.8819127449624062</v>
      </c>
      <c r="Z459">
        <v>3.8992569173888683</v>
      </c>
      <c r="AA459">
        <v>4.4480712079053072E-3</v>
      </c>
      <c r="AB459">
        <v>1.055661371762191</v>
      </c>
      <c r="AC459">
        <v>4.5265194265183218E-4</v>
      </c>
      <c r="AD459">
        <v>-0.60317578841021124</v>
      </c>
      <c r="AE459">
        <v>-0.50559179024025414</v>
      </c>
    </row>
    <row r="460" spans="23:31" x14ac:dyDescent="0.25">
      <c r="W460">
        <v>74.599999999999994</v>
      </c>
      <c r="X460">
        <v>72.740344925501276</v>
      </c>
      <c r="Y460">
        <v>1.8596550744987184</v>
      </c>
      <c r="Z460">
        <v>1.8619458220057226</v>
      </c>
      <c r="AA460">
        <v>1.2302976165740474E-3</v>
      </c>
      <c r="AB460">
        <v>0.5049060094613379</v>
      </c>
      <c r="AC460">
        <v>2.8547837594411153E-5</v>
      </c>
      <c r="AD460">
        <v>-0.59046081866695443</v>
      </c>
      <c r="AE460">
        <v>-0.50131434509221773</v>
      </c>
    </row>
    <row r="461" spans="23:31" x14ac:dyDescent="0.25">
      <c r="W461">
        <v>74.7</v>
      </c>
      <c r="X461">
        <v>74.771873837169252</v>
      </c>
      <c r="Y461">
        <v>-7.1873837169249555E-2</v>
      </c>
      <c r="Z461">
        <v>-7.2031389756247677E-2</v>
      </c>
      <c r="AA461">
        <v>2.1872767904823356E-3</v>
      </c>
      <c r="AB461">
        <v>-1.9523475543377362E-2</v>
      </c>
      <c r="AC461">
        <v>7.5958483858546881E-8</v>
      </c>
      <c r="AD461">
        <v>-0.59046081866695443</v>
      </c>
      <c r="AE461">
        <v>-0.50089620279580627</v>
      </c>
    </row>
    <row r="462" spans="23:31" x14ac:dyDescent="0.25">
      <c r="W462">
        <v>74.400000000000006</v>
      </c>
      <c r="X462">
        <v>72.226908959236866</v>
      </c>
      <c r="Y462">
        <v>2.1730910407631399</v>
      </c>
      <c r="Z462">
        <v>2.1758022436147684</v>
      </c>
      <c r="AA462">
        <v>1.2460704365894794E-3</v>
      </c>
      <c r="AB462">
        <v>0.59001016071073653</v>
      </c>
      <c r="AC462">
        <v>3.9483022175747053E-5</v>
      </c>
      <c r="AD462">
        <v>-0.59046081866695443</v>
      </c>
      <c r="AE462">
        <v>-0.50018381637009479</v>
      </c>
    </row>
    <row r="463" spans="23:31" x14ac:dyDescent="0.25">
      <c r="W463">
        <v>74.2</v>
      </c>
      <c r="X463">
        <v>71.932791780739819</v>
      </c>
      <c r="Y463">
        <v>2.2672082192601835</v>
      </c>
      <c r="Z463">
        <v>2.269770487644962</v>
      </c>
      <c r="AA463">
        <v>1.1288667284740307E-3</v>
      </c>
      <c r="AB463">
        <v>0.61552755017534833</v>
      </c>
      <c r="AC463">
        <v>3.8925618123817116E-5</v>
      </c>
      <c r="AD463">
        <v>-0.59046081866695443</v>
      </c>
      <c r="AE463">
        <v>-0.49997662494677042</v>
      </c>
    </row>
    <row r="464" spans="23:31" x14ac:dyDescent="0.25">
      <c r="W464">
        <v>74.400000000000006</v>
      </c>
      <c r="X464">
        <v>71.732540500370135</v>
      </c>
      <c r="Y464">
        <v>2.6674594996298708</v>
      </c>
      <c r="Z464">
        <v>2.6702108631174895</v>
      </c>
      <c r="AA464">
        <v>1.0303918411945171E-3</v>
      </c>
      <c r="AB464">
        <v>0.72415663853390011</v>
      </c>
      <c r="AC464">
        <v>4.9172521954597459E-5</v>
      </c>
      <c r="AD464">
        <v>-0.59046081866695443</v>
      </c>
      <c r="AE464">
        <v>-0.49753262479268617</v>
      </c>
    </row>
    <row r="465" spans="23:31" x14ac:dyDescent="0.25">
      <c r="W465">
        <v>74.400000000000006</v>
      </c>
      <c r="X465">
        <v>71.518597625437081</v>
      </c>
      <c r="Y465">
        <v>2.8814023745629243</v>
      </c>
      <c r="Z465">
        <v>2.8843485758336698</v>
      </c>
      <c r="AA465">
        <v>1.0214442510262591E-3</v>
      </c>
      <c r="AB465">
        <v>0.78223392467239483</v>
      </c>
      <c r="AC465">
        <v>5.6877318264411425E-5</v>
      </c>
      <c r="AD465">
        <v>-0.59046081866695443</v>
      </c>
      <c r="AE465">
        <v>-0.49721476670975462</v>
      </c>
    </row>
    <row r="466" spans="23:31" x14ac:dyDescent="0.25">
      <c r="W466">
        <v>73.599999999999994</v>
      </c>
      <c r="X466">
        <v>71.200621607375126</v>
      </c>
      <c r="Y466">
        <v>2.3993783926248682</v>
      </c>
      <c r="Z466">
        <v>2.4020673748086949</v>
      </c>
      <c r="AA466">
        <v>1.1194449464766265E-3</v>
      </c>
      <c r="AB466">
        <v>0.65140754437946857</v>
      </c>
      <c r="AC466">
        <v>4.3231675178937126E-5</v>
      </c>
      <c r="AD466">
        <v>-0.57963781842623852</v>
      </c>
      <c r="AE466">
        <v>-0.49406021270303119</v>
      </c>
    </row>
    <row r="467" spans="23:31" x14ac:dyDescent="0.25">
      <c r="W467">
        <v>73.400000000000006</v>
      </c>
      <c r="X467">
        <v>70.87322578019868</v>
      </c>
      <c r="Y467">
        <v>2.5267742198013252</v>
      </c>
      <c r="Z467">
        <v>2.5304581671523891</v>
      </c>
      <c r="AA467">
        <v>1.4558420284868784E-3</v>
      </c>
      <c r="AB467">
        <v>0.68610979539757933</v>
      </c>
      <c r="AC467">
        <v>6.2393813699116262E-5</v>
      </c>
      <c r="AD467">
        <v>-0.57963781842623852</v>
      </c>
      <c r="AE467">
        <v>-0.49320737248342539</v>
      </c>
    </row>
    <row r="468" spans="23:31" x14ac:dyDescent="0.25">
      <c r="W468">
        <v>72.8</v>
      </c>
      <c r="X468">
        <v>70.70100878113584</v>
      </c>
      <c r="Y468">
        <v>2.0989912188641568</v>
      </c>
      <c r="Z468">
        <v>2.1025400161422141</v>
      </c>
      <c r="AA468">
        <v>1.6878619435577991E-3</v>
      </c>
      <c r="AB468">
        <v>0.57001760092921039</v>
      </c>
      <c r="AC468">
        <v>4.9940675969568561E-5</v>
      </c>
      <c r="AD468">
        <v>-0.57963781842623852</v>
      </c>
      <c r="AE468">
        <v>-0.49175862877382659</v>
      </c>
    </row>
    <row r="469" spans="23:31" x14ac:dyDescent="0.25">
      <c r="W469">
        <v>73.3</v>
      </c>
      <c r="X469">
        <v>72.495829525622383</v>
      </c>
      <c r="Y469">
        <v>0.80417047437761369</v>
      </c>
      <c r="Z469">
        <v>0.80580911929017418</v>
      </c>
      <c r="AA469">
        <v>2.0335397966317081E-3</v>
      </c>
      <c r="AB469">
        <v>0.21842430918941047</v>
      </c>
      <c r="AC469">
        <v>8.8378369882923037E-6</v>
      </c>
      <c r="AD469">
        <v>-0.57963781842623852</v>
      </c>
      <c r="AE469">
        <v>-0.49066026104755767</v>
      </c>
    </row>
    <row r="470" spans="23:31" x14ac:dyDescent="0.25">
      <c r="W470">
        <v>73</v>
      </c>
      <c r="X470">
        <v>72.377807768174918</v>
      </c>
      <c r="Y470">
        <v>0.62219223182508188</v>
      </c>
      <c r="Z470">
        <v>0.62346707789073719</v>
      </c>
      <c r="AA470">
        <v>2.0447688592789967E-3</v>
      </c>
      <c r="AB470">
        <v>0.16899734239978317</v>
      </c>
      <c r="AC470">
        <v>5.3198603076099821E-6</v>
      </c>
      <c r="AD470">
        <v>-0.57963781842623852</v>
      </c>
      <c r="AE470">
        <v>-0.48547540053709154</v>
      </c>
    </row>
    <row r="471" spans="23:31" x14ac:dyDescent="0.25">
      <c r="W471">
        <v>73</v>
      </c>
      <c r="X471">
        <v>72.261155702386517</v>
      </c>
      <c r="Y471">
        <v>0.73884429761348258</v>
      </c>
      <c r="Z471">
        <v>0.74025412645111999</v>
      </c>
      <c r="AA471">
        <v>1.9045200658265324E-3</v>
      </c>
      <c r="AB471">
        <v>0.20066780557308506</v>
      </c>
      <c r="AC471">
        <v>6.9851571562025998E-6</v>
      </c>
      <c r="AD471">
        <v>-0.57067028430202504</v>
      </c>
      <c r="AE471">
        <v>-0.4840319679513776</v>
      </c>
    </row>
    <row r="472" spans="23:31" x14ac:dyDescent="0.25">
      <c r="W472">
        <v>72</v>
      </c>
      <c r="X472">
        <v>71.652443455286658</v>
      </c>
      <c r="Y472">
        <v>0.34755654471334196</v>
      </c>
      <c r="Z472">
        <v>0.3482376083976817</v>
      </c>
      <c r="AA472">
        <v>1.9557442042921537E-3</v>
      </c>
      <c r="AB472">
        <v>9.439769531397886E-2</v>
      </c>
      <c r="AC472">
        <v>1.5874218356091395E-6</v>
      </c>
      <c r="AD472">
        <v>-0.57067028430202504</v>
      </c>
      <c r="AE472">
        <v>-0.48332107464611568</v>
      </c>
    </row>
    <row r="473" spans="23:31" x14ac:dyDescent="0.25">
      <c r="W473">
        <v>72</v>
      </c>
      <c r="X473">
        <v>71.575764041316191</v>
      </c>
      <c r="Y473">
        <v>0.42423595868380914</v>
      </c>
      <c r="Z473">
        <v>0.42502719235038455</v>
      </c>
      <c r="AA473">
        <v>1.8616071649358674E-3</v>
      </c>
      <c r="AB473">
        <v>0.11521868562090086</v>
      </c>
      <c r="AC473">
        <v>2.2508700840550925E-6</v>
      </c>
      <c r="AD473">
        <v>-0.57067028430202504</v>
      </c>
      <c r="AE473">
        <v>-0.48168559531139549</v>
      </c>
    </row>
    <row r="474" spans="23:31" x14ac:dyDescent="0.25">
      <c r="W474">
        <v>71.400000000000006</v>
      </c>
      <c r="X474">
        <v>74.496650264897511</v>
      </c>
      <c r="Y474">
        <v>-3.0966502648975052</v>
      </c>
      <c r="Z474">
        <v>-3.1036227908938514</v>
      </c>
      <c r="AA474">
        <v>2.2465764901578224E-3</v>
      </c>
      <c r="AB474">
        <v>-0.84118470163684678</v>
      </c>
      <c r="AC474">
        <v>1.448398376783257E-4</v>
      </c>
      <c r="AD474">
        <v>-0.57067028430202504</v>
      </c>
      <c r="AE474">
        <v>-0.48080252942761448</v>
      </c>
    </row>
    <row r="475" spans="23:31" x14ac:dyDescent="0.25">
      <c r="W475">
        <v>71.7</v>
      </c>
      <c r="X475">
        <v>71.820311847597466</v>
      </c>
      <c r="Y475">
        <v>-0.12031184759746338</v>
      </c>
      <c r="Z475">
        <v>-0.12056339129763671</v>
      </c>
      <c r="AA475">
        <v>2.0864019953936788E-3</v>
      </c>
      <c r="AB475">
        <v>-3.2679300052419424E-2</v>
      </c>
      <c r="AC475">
        <v>2.0298215341643669E-7</v>
      </c>
      <c r="AD475">
        <v>-0.57067028430202504</v>
      </c>
      <c r="AE475">
        <v>-0.47975103521820878</v>
      </c>
    </row>
    <row r="476" spans="23:31" x14ac:dyDescent="0.25">
      <c r="W476">
        <v>71.2</v>
      </c>
      <c r="X476">
        <v>72.728840288246502</v>
      </c>
      <c r="Y476">
        <v>-1.5288402882464993</v>
      </c>
      <c r="Z476">
        <v>-1.5375061071534617</v>
      </c>
      <c r="AA476">
        <v>5.6362825920797457E-3</v>
      </c>
      <c r="AB476">
        <v>-0.41600667985450313</v>
      </c>
      <c r="AC476">
        <v>8.9177524723850704E-5</v>
      </c>
      <c r="AD476">
        <v>-0.56174840893422073</v>
      </c>
      <c r="AE476">
        <v>-0.47947403993218296</v>
      </c>
    </row>
    <row r="477" spans="23:31" x14ac:dyDescent="0.25">
      <c r="W477">
        <v>75</v>
      </c>
      <c r="X477">
        <v>69.245695582703391</v>
      </c>
      <c r="Y477">
        <v>5.7543044172966091</v>
      </c>
      <c r="Z477">
        <v>5.7813572695575033</v>
      </c>
      <c r="AA477">
        <v>4.6793254593259651E-3</v>
      </c>
      <c r="AB477">
        <v>1.5650281042335528</v>
      </c>
      <c r="AC477">
        <v>1.0468195479558474E-3</v>
      </c>
      <c r="AD477">
        <v>-0.56174840893422073</v>
      </c>
      <c r="AE477">
        <v>-0.47568819986626737</v>
      </c>
    </row>
    <row r="478" spans="23:31" x14ac:dyDescent="0.25">
      <c r="W478">
        <v>71</v>
      </c>
      <c r="X478">
        <v>70.68510620209203</v>
      </c>
      <c r="Y478">
        <v>0.31489379790797045</v>
      </c>
      <c r="Z478">
        <v>0.31545968326014417</v>
      </c>
      <c r="AA478">
        <v>1.7938436580152367E-3</v>
      </c>
      <c r="AB478">
        <v>8.5519431454551473E-2</v>
      </c>
      <c r="AC478">
        <v>1.194816661916623E-6</v>
      </c>
      <c r="AD478">
        <v>-0.56174840893422073</v>
      </c>
      <c r="AE478">
        <v>-0.47543466289704117</v>
      </c>
    </row>
    <row r="479" spans="23:31" x14ac:dyDescent="0.25">
      <c r="W479">
        <v>70</v>
      </c>
      <c r="X479">
        <v>68.461949772827609</v>
      </c>
      <c r="Y479">
        <v>1.5380502271723913</v>
      </c>
      <c r="Z479">
        <v>1.5543932711008779</v>
      </c>
      <c r="AA479">
        <v>1.0514098479668284E-2</v>
      </c>
      <c r="AB479">
        <v>0.419543051719311</v>
      </c>
      <c r="AC479">
        <v>1.7002892557956256E-4</v>
      </c>
      <c r="AD479">
        <v>-0.56174840893422073</v>
      </c>
      <c r="AE479">
        <v>-0.47317635657831253</v>
      </c>
    </row>
    <row r="480" spans="23:31" x14ac:dyDescent="0.25">
      <c r="W480">
        <v>69.900000000000006</v>
      </c>
      <c r="X480">
        <v>73.187770294556444</v>
      </c>
      <c r="Y480">
        <v>-3.287770294556438</v>
      </c>
      <c r="Z480">
        <v>-3.2955217910221961</v>
      </c>
      <c r="AA480">
        <v>2.3521302413688997E-3</v>
      </c>
      <c r="AB480">
        <v>-0.89314844713969632</v>
      </c>
      <c r="AC480">
        <v>1.7097739500646552E-4</v>
      </c>
      <c r="AD480">
        <v>-0.56174840893422073</v>
      </c>
      <c r="AE480">
        <v>-0.47312125800930677</v>
      </c>
    </row>
    <row r="481" spans="23:31" x14ac:dyDescent="0.25">
      <c r="W481">
        <v>73</v>
      </c>
      <c r="X481">
        <v>72.528714020766998</v>
      </c>
      <c r="Y481">
        <v>0.47128597923300219</v>
      </c>
      <c r="Z481">
        <v>0.47253548101247134</v>
      </c>
      <c r="AA481">
        <v>2.6442496482724986E-3</v>
      </c>
      <c r="AB481">
        <v>0.1280472605900842</v>
      </c>
      <c r="AC481">
        <v>3.9518482329240126E-6</v>
      </c>
      <c r="AD481">
        <v>-0.55287102664223609</v>
      </c>
      <c r="AE481">
        <v>-0.4724163200658168</v>
      </c>
    </row>
    <row r="482" spans="23:31" x14ac:dyDescent="0.25">
      <c r="W482">
        <v>68.900000000000006</v>
      </c>
      <c r="X482">
        <v>69.123688283142883</v>
      </c>
      <c r="Y482">
        <v>-0.22368828314287725</v>
      </c>
      <c r="Z482">
        <v>-0.22416738685075188</v>
      </c>
      <c r="AA482">
        <v>2.1372587449160919E-3</v>
      </c>
      <c r="AB482">
        <v>-6.0760124173890609E-2</v>
      </c>
      <c r="AC482">
        <v>7.1883781607419571E-7</v>
      </c>
      <c r="AD482">
        <v>-0.55287102664223609</v>
      </c>
      <c r="AE482">
        <v>-0.47162481911409887</v>
      </c>
    </row>
    <row r="483" spans="23:31" x14ac:dyDescent="0.25">
      <c r="W483">
        <v>69</v>
      </c>
      <c r="X483">
        <v>68.912899527797819</v>
      </c>
      <c r="Y483">
        <v>8.7100472202180867E-2</v>
      </c>
      <c r="Z483">
        <v>8.7311901538441816E-2</v>
      </c>
      <c r="AA483">
        <v>2.4215408499645625E-3</v>
      </c>
      <c r="AB483">
        <v>2.3662345870167426E-2</v>
      </c>
      <c r="AC483">
        <v>1.2355708337155946E-7</v>
      </c>
      <c r="AD483">
        <v>-0.55287102664223609</v>
      </c>
      <c r="AE483">
        <v>-0.46958577831296644</v>
      </c>
    </row>
    <row r="484" spans="23:31" x14ac:dyDescent="0.25">
      <c r="W484">
        <v>57.9</v>
      </c>
      <c r="X484">
        <v>65.223112085588269</v>
      </c>
      <c r="Y484">
        <v>-7.3231120855882708</v>
      </c>
      <c r="Z484">
        <v>-7.4305508084847318</v>
      </c>
      <c r="AA484">
        <v>1.4459052318675803E-2</v>
      </c>
      <c r="AB484">
        <v>-2.0015625416054483</v>
      </c>
      <c r="AC484">
        <v>5.3433152806800794E-3</v>
      </c>
      <c r="AD484">
        <v>-0.55287102664223609</v>
      </c>
      <c r="AE484">
        <v>-0.46922218645691011</v>
      </c>
    </row>
    <row r="485" spans="23:31" x14ac:dyDescent="0.25">
      <c r="W485">
        <v>62.9</v>
      </c>
      <c r="X485">
        <v>58.191752721611998</v>
      </c>
      <c r="Y485">
        <v>4.7082472783880007</v>
      </c>
      <c r="Z485">
        <v>4.7461044235511523</v>
      </c>
      <c r="AA485">
        <v>7.9764669684243214E-3</v>
      </c>
      <c r="AB485">
        <v>1.2826527502482794</v>
      </c>
      <c r="AC485">
        <v>1.2025803536903216E-3</v>
      </c>
      <c r="AD485">
        <v>-0.55287102664223609</v>
      </c>
      <c r="AE485">
        <v>-0.46747599501685977</v>
      </c>
    </row>
    <row r="486" spans="23:31" x14ac:dyDescent="0.25">
      <c r="W486">
        <v>62.1</v>
      </c>
      <c r="X486">
        <v>56.040886054373615</v>
      </c>
      <c r="Y486">
        <v>6.0591139456263861</v>
      </c>
      <c r="Z486">
        <v>6.1356517566745268</v>
      </c>
      <c r="AA486">
        <v>1.2474275608109219E-2</v>
      </c>
      <c r="AB486">
        <v>1.6544198456154582</v>
      </c>
      <c r="AC486">
        <v>3.143154250329645E-3</v>
      </c>
      <c r="AD486">
        <v>-0.55287102664223609</v>
      </c>
      <c r="AE486">
        <v>-0.46578724297088603</v>
      </c>
    </row>
    <row r="487" spans="23:31" x14ac:dyDescent="0.25">
      <c r="W487">
        <v>61.4</v>
      </c>
      <c r="X487">
        <v>57.601926450644108</v>
      </c>
      <c r="Y487">
        <v>3.798073549355891</v>
      </c>
      <c r="Z487">
        <v>3.8265364402473949</v>
      </c>
      <c r="AA487">
        <v>7.4382908240802062E-3</v>
      </c>
      <c r="AB487">
        <v>1.034416482569773</v>
      </c>
      <c r="AC487">
        <v>7.2897698371347189E-4</v>
      </c>
      <c r="AD487">
        <v>-0.55287102664223609</v>
      </c>
      <c r="AE487">
        <v>-0.4653397900915357</v>
      </c>
    </row>
    <row r="488" spans="23:31" x14ac:dyDescent="0.25">
      <c r="W488">
        <v>67</v>
      </c>
      <c r="X488">
        <v>57.474153469864255</v>
      </c>
      <c r="Y488">
        <v>9.5258465301357447</v>
      </c>
      <c r="Z488">
        <v>9.5982981680192907</v>
      </c>
      <c r="AA488">
        <v>7.5483837462924919E-3</v>
      </c>
      <c r="AB488">
        <v>2.5945361653393384</v>
      </c>
      <c r="AC488">
        <v>4.6544824783099556E-3</v>
      </c>
      <c r="AD488">
        <v>-0.54051528578164909</v>
      </c>
      <c r="AE488">
        <v>-0.46195933152585594</v>
      </c>
    </row>
    <row r="489" spans="23:31" x14ac:dyDescent="0.25">
      <c r="W489">
        <v>62</v>
      </c>
      <c r="X489">
        <v>57.163127129684213</v>
      </c>
      <c r="Y489">
        <v>4.8368728703157871</v>
      </c>
      <c r="Z489">
        <v>4.8732089336504245</v>
      </c>
      <c r="AA489">
        <v>7.4562908812983181E-3</v>
      </c>
      <c r="AB489">
        <v>1.3173484726974432</v>
      </c>
      <c r="AC489">
        <v>1.1851733040262216E-3</v>
      </c>
      <c r="AD489">
        <v>-0.54051528578164909</v>
      </c>
      <c r="AE489">
        <v>-0.46140684028425372</v>
      </c>
    </row>
    <row r="490" spans="23:31" x14ac:dyDescent="0.25">
      <c r="W490">
        <v>59.7</v>
      </c>
      <c r="X490">
        <v>57.066635190176839</v>
      </c>
      <c r="Y490">
        <v>2.6333648098231635</v>
      </c>
      <c r="Z490">
        <v>2.6536768699211493</v>
      </c>
      <c r="AA490">
        <v>7.6543080011801864E-3</v>
      </c>
      <c r="AB490">
        <v>0.71728269521554611</v>
      </c>
      <c r="AC490">
        <v>3.6077045718866074E-4</v>
      </c>
      <c r="AD490">
        <v>-0.54051528578164909</v>
      </c>
      <c r="AE490">
        <v>-0.46061184892893808</v>
      </c>
    </row>
    <row r="491" spans="23:31" x14ac:dyDescent="0.25">
      <c r="W491">
        <v>59.4</v>
      </c>
      <c r="X491">
        <v>58.260783406151127</v>
      </c>
      <c r="Y491">
        <v>1.1392165938488716</v>
      </c>
      <c r="Z491">
        <v>1.1596784744873148</v>
      </c>
      <c r="AA491">
        <v>1.7644442911201201E-2</v>
      </c>
      <c r="AB491">
        <v>0.31187658432794124</v>
      </c>
      <c r="AC491">
        <v>1.588225255867575E-4</v>
      </c>
      <c r="AD491">
        <v>-0.54051528578164909</v>
      </c>
      <c r="AE491">
        <v>-0.46051825222520049</v>
      </c>
    </row>
    <row r="492" spans="23:31" x14ac:dyDescent="0.25">
      <c r="W492">
        <v>59.1</v>
      </c>
      <c r="X492">
        <v>52.309138809119773</v>
      </c>
      <c r="Y492">
        <v>6.7908611908802285</v>
      </c>
      <c r="Z492">
        <v>6.8798793480880462</v>
      </c>
      <c r="AA492">
        <v>1.2938912545400118E-2</v>
      </c>
      <c r="AB492">
        <v>1.8546572337295382</v>
      </c>
      <c r="AC492">
        <v>4.099098709456136E-3</v>
      </c>
      <c r="AD492">
        <v>-0.53349185558387491</v>
      </c>
      <c r="AE492">
        <v>-0.46000447413290041</v>
      </c>
    </row>
    <row r="493" spans="23:31" x14ac:dyDescent="0.25">
      <c r="W493">
        <v>58.8</v>
      </c>
      <c r="X493">
        <v>51.882960298091803</v>
      </c>
      <c r="Y493">
        <v>6.9170397019081946</v>
      </c>
      <c r="Z493">
        <v>7.0033885859100025</v>
      </c>
      <c r="AA493">
        <v>1.2329586305624748E-2</v>
      </c>
      <c r="AB493">
        <v>1.8885351229850522</v>
      </c>
      <c r="AC493">
        <v>4.0475657090724539E-3</v>
      </c>
      <c r="AD493">
        <v>-0.53349185558387491</v>
      </c>
      <c r="AE493">
        <v>-0.45956936894982864</v>
      </c>
    </row>
    <row r="494" spans="23:31" x14ac:dyDescent="0.25">
      <c r="W494">
        <v>58.5</v>
      </c>
      <c r="X494">
        <v>49.805580318218873</v>
      </c>
      <c r="Y494">
        <v>8.6944196817811275</v>
      </c>
      <c r="Z494">
        <v>8.8249102648863413</v>
      </c>
      <c r="AA494">
        <v>1.4786618695084724E-2</v>
      </c>
      <c r="AB494">
        <v>2.3767651395376883</v>
      </c>
      <c r="AC494">
        <v>7.7075868074543115E-3</v>
      </c>
      <c r="AD494">
        <v>-0.53349185558387491</v>
      </c>
      <c r="AE494">
        <v>-0.45948712442810441</v>
      </c>
    </row>
    <row r="495" spans="23:31" x14ac:dyDescent="0.25">
      <c r="W495">
        <v>77.3</v>
      </c>
      <c r="X495">
        <v>79.856413757789809</v>
      </c>
      <c r="Y495">
        <v>-2.5564137577898123</v>
      </c>
      <c r="Z495">
        <v>-2.5765403305164369</v>
      </c>
      <c r="AA495">
        <v>7.8114720302430996E-3</v>
      </c>
      <c r="AB495">
        <v>-0.69637771634060575</v>
      </c>
      <c r="AC495">
        <v>3.4708490531902531E-4</v>
      </c>
      <c r="AD495">
        <v>-0.53349185558387491</v>
      </c>
      <c r="AE495">
        <v>-0.45708096000125858</v>
      </c>
    </row>
    <row r="496" spans="23:31" x14ac:dyDescent="0.25">
      <c r="W496">
        <v>76.900000000000006</v>
      </c>
      <c r="X496">
        <v>78.62315486324411</v>
      </c>
      <c r="Y496">
        <v>-1.7231548632441047</v>
      </c>
      <c r="Z496">
        <v>-1.7354460914302763</v>
      </c>
      <c r="AA496">
        <v>7.0824603811443189E-3</v>
      </c>
      <c r="AB496">
        <v>-0.46922218645691011</v>
      </c>
      <c r="AC496">
        <v>1.4276947546758889E-4</v>
      </c>
      <c r="AD496">
        <v>-0.53349185558387491</v>
      </c>
      <c r="AE496">
        <v>-0.45581311446417466</v>
      </c>
    </row>
    <row r="497" spans="23:31" x14ac:dyDescent="0.25">
      <c r="W497">
        <v>76.3</v>
      </c>
      <c r="X497">
        <v>79.301942301211511</v>
      </c>
      <c r="Y497">
        <v>-3.0019423012115141</v>
      </c>
      <c r="Z497">
        <v>-3.0246629270652221</v>
      </c>
      <c r="AA497">
        <v>7.5117877269547974E-3</v>
      </c>
      <c r="AB497">
        <v>-0.81761807156768584</v>
      </c>
      <c r="AC497">
        <v>4.5996652723248019E-4</v>
      </c>
      <c r="AD497">
        <v>-0.53349185558387491</v>
      </c>
      <c r="AE497">
        <v>-0.45545703546523214</v>
      </c>
    </row>
    <row r="498" spans="23:31" x14ac:dyDescent="0.25">
      <c r="W498">
        <v>76.099999999999994</v>
      </c>
      <c r="X498">
        <v>78.89803934103513</v>
      </c>
      <c r="Y498">
        <v>-2.7980393410351354</v>
      </c>
      <c r="Z498">
        <v>-2.8186154852968173</v>
      </c>
      <c r="AA498">
        <v>7.300089128515555E-3</v>
      </c>
      <c r="AB498">
        <v>-0.76200118208604806</v>
      </c>
      <c r="AC498">
        <v>3.8817609308180643E-4</v>
      </c>
      <c r="AD498">
        <v>-0.53349185558387491</v>
      </c>
      <c r="AE498">
        <v>-0.45510923227445371</v>
      </c>
    </row>
    <row r="499" spans="23:31" x14ac:dyDescent="0.25">
      <c r="W499">
        <v>75.599999999999994</v>
      </c>
      <c r="X499">
        <v>77.157719923179172</v>
      </c>
      <c r="Y499">
        <v>-1.5577199231791781</v>
      </c>
      <c r="Z499">
        <v>-1.565796606838461</v>
      </c>
      <c r="AA499">
        <v>5.1581946365205E-3</v>
      </c>
      <c r="AB499">
        <v>-0.4237631430477829</v>
      </c>
      <c r="AC499">
        <v>8.4644233316044529E-5</v>
      </c>
      <c r="AD499">
        <v>-0.52126361871264315</v>
      </c>
      <c r="AE499">
        <v>-0.45429565923575926</v>
      </c>
    </row>
    <row r="500" spans="23:31" x14ac:dyDescent="0.25">
      <c r="W500">
        <v>74.900000000000006</v>
      </c>
      <c r="X500">
        <v>76.758457662904064</v>
      </c>
      <c r="Y500">
        <v>-1.8584576629040583</v>
      </c>
      <c r="Z500">
        <v>-1.8682100952394478</v>
      </c>
      <c r="AA500">
        <v>5.2202010685230248E-3</v>
      </c>
      <c r="AB500">
        <v>-0.50559179024025414</v>
      </c>
      <c r="AC500">
        <v>1.2194601566503646E-4</v>
      </c>
      <c r="AD500">
        <v>-0.52126361871264315</v>
      </c>
      <c r="AE500">
        <v>-0.45348456575705975</v>
      </c>
    </row>
    <row r="501" spans="23:31" x14ac:dyDescent="0.25">
      <c r="W501">
        <v>74.2</v>
      </c>
      <c r="X501">
        <v>75.646190388396178</v>
      </c>
      <c r="Y501">
        <v>-1.4461903883961753</v>
      </c>
      <c r="Z501">
        <v>-1.4587011340035048</v>
      </c>
      <c r="AA501">
        <v>8.5766339078624867E-3</v>
      </c>
      <c r="AB501">
        <v>-0.39410025486763889</v>
      </c>
      <c r="AC501">
        <v>1.2214578043960499E-4</v>
      </c>
      <c r="AD501">
        <v>-0.52126361871264315</v>
      </c>
      <c r="AE501">
        <v>-0.44715823988895798</v>
      </c>
    </row>
    <row r="502" spans="23:31" x14ac:dyDescent="0.25">
      <c r="W502">
        <v>73</v>
      </c>
      <c r="X502">
        <v>75.752273488939295</v>
      </c>
      <c r="Y502">
        <v>-2.752273488939295</v>
      </c>
      <c r="Z502">
        <v>-2.7772361895951718</v>
      </c>
      <c r="AA502">
        <v>8.988324705477134E-3</v>
      </c>
      <c r="AB502">
        <v>-0.7501757503783133</v>
      </c>
      <c r="AC502">
        <v>4.6401640985729479E-4</v>
      </c>
      <c r="AD502">
        <v>-0.52126361871264315</v>
      </c>
      <c r="AE502">
        <v>-0.44705574617283567</v>
      </c>
    </row>
    <row r="503" spans="23:31" x14ac:dyDescent="0.25">
      <c r="W503">
        <v>73</v>
      </c>
      <c r="X503">
        <v>75.03975380193252</v>
      </c>
      <c r="Y503">
        <v>-2.0397538019325197</v>
      </c>
      <c r="Z503">
        <v>-2.0575130027845887</v>
      </c>
      <c r="AA503">
        <v>8.6313917958403766E-3</v>
      </c>
      <c r="AB503">
        <v>-0.55586712511588254</v>
      </c>
      <c r="AC503">
        <v>2.4456537036285581E-4</v>
      </c>
      <c r="AD503">
        <v>-0.52126361871264315</v>
      </c>
      <c r="AE503">
        <v>-0.44515810881082368</v>
      </c>
    </row>
    <row r="504" spans="23:31" x14ac:dyDescent="0.25">
      <c r="W504">
        <v>72.8</v>
      </c>
      <c r="X504">
        <v>74.803378085963288</v>
      </c>
      <c r="Y504">
        <v>-2.0033780859632913</v>
      </c>
      <c r="Z504">
        <v>-2.0184628420999644</v>
      </c>
      <c r="AA504">
        <v>7.4733880763347424E-3</v>
      </c>
      <c r="AB504">
        <v>-0.54563555076274006</v>
      </c>
      <c r="AC504">
        <v>2.0379241105907128E-4</v>
      </c>
      <c r="AD504">
        <v>-0.52126361871264315</v>
      </c>
      <c r="AE504">
        <v>-0.44439912265116832</v>
      </c>
    </row>
    <row r="505" spans="23:31" x14ac:dyDescent="0.25">
      <c r="W505">
        <v>72.3</v>
      </c>
      <c r="X505">
        <v>74.395521706712458</v>
      </c>
      <c r="Y505">
        <v>-2.0955217067124607</v>
      </c>
      <c r="Z505">
        <v>-2.1105264921776694</v>
      </c>
      <c r="AA505">
        <v>7.1094987534235134E-3</v>
      </c>
      <c r="AB505">
        <v>-0.57062698542277857</v>
      </c>
      <c r="AC505">
        <v>2.1195787325207916E-4</v>
      </c>
      <c r="AD505">
        <v>-0.52126361871264315</v>
      </c>
      <c r="AE505">
        <v>-0.44433579871075507</v>
      </c>
    </row>
    <row r="506" spans="23:31" x14ac:dyDescent="0.25">
      <c r="W506">
        <v>64.2</v>
      </c>
      <c r="X506">
        <v>62.045753276233434</v>
      </c>
      <c r="Y506">
        <v>2.154246723766569</v>
      </c>
      <c r="Z506">
        <v>2.1594615015284901</v>
      </c>
      <c r="AA506">
        <v>2.4148509979126246E-3</v>
      </c>
      <c r="AB506">
        <v>0.58523632374862933</v>
      </c>
      <c r="AC506">
        <v>7.537203231804861E-5</v>
      </c>
      <c r="AD506">
        <v>-0.52126361871264315</v>
      </c>
      <c r="AE506">
        <v>-0.44157104939734648</v>
      </c>
    </row>
    <row r="507" spans="23:31" x14ac:dyDescent="0.25">
      <c r="W507">
        <v>63.7</v>
      </c>
      <c r="X507">
        <v>61.44586324396986</v>
      </c>
      <c r="Y507">
        <v>2.2541367560301424</v>
      </c>
      <c r="Z507">
        <v>2.2594094033671368</v>
      </c>
      <c r="AA507">
        <v>2.3336396357094944E-3</v>
      </c>
      <c r="AB507">
        <v>0.61234815875840687</v>
      </c>
      <c r="AC507">
        <v>7.9735663261605789E-5</v>
      </c>
      <c r="AD507">
        <v>-0.50738317096904828</v>
      </c>
      <c r="AE507">
        <v>-0.43840029679425979</v>
      </c>
    </row>
    <row r="508" spans="23:31" x14ac:dyDescent="0.25">
      <c r="W508">
        <v>63.3</v>
      </c>
      <c r="X508">
        <v>61.168036034299455</v>
      </c>
      <c r="Y508">
        <v>2.1319639657005425</v>
      </c>
      <c r="Z508">
        <v>2.1372814133392026</v>
      </c>
      <c r="AA508">
        <v>2.4879492262802495E-3</v>
      </c>
      <c r="AB508">
        <v>0.57920406944008107</v>
      </c>
      <c r="AC508">
        <v>7.6066579192123814E-5</v>
      </c>
      <c r="AD508">
        <v>-0.50738317096904828</v>
      </c>
      <c r="AE508">
        <v>-0.43815190295364809</v>
      </c>
    </row>
    <row r="509" spans="23:31" x14ac:dyDescent="0.25">
      <c r="W509">
        <v>62.6</v>
      </c>
      <c r="X509">
        <v>60.609204399728306</v>
      </c>
      <c r="Y509">
        <v>1.9907956002716958</v>
      </c>
      <c r="Z509">
        <v>1.9966897771496903</v>
      </c>
      <c r="AA509">
        <v>2.9519742853649348E-3</v>
      </c>
      <c r="AB509">
        <v>0.54097781238823384</v>
      </c>
      <c r="AC509">
        <v>7.8770338854152873E-5</v>
      </c>
      <c r="AD509">
        <v>-0.50738317096904828</v>
      </c>
      <c r="AE509">
        <v>-0.43420909649710243</v>
      </c>
    </row>
    <row r="510" spans="23:31" x14ac:dyDescent="0.25">
      <c r="W510">
        <v>61.8</v>
      </c>
      <c r="X510">
        <v>59.957587406613953</v>
      </c>
      <c r="Y510">
        <v>1.8424125933860438</v>
      </c>
      <c r="Z510">
        <v>1.8486302455157144</v>
      </c>
      <c r="AA510">
        <v>3.3633833184084725E-3</v>
      </c>
      <c r="AB510">
        <v>0.50075961159356241</v>
      </c>
      <c r="AC510">
        <v>7.6931717698638745E-5</v>
      </c>
      <c r="AD510">
        <v>-0.50738317096904828</v>
      </c>
      <c r="AE510">
        <v>-0.43380934752216876</v>
      </c>
    </row>
    <row r="511" spans="23:31" x14ac:dyDescent="0.25">
      <c r="W511">
        <v>68</v>
      </c>
      <c r="X511">
        <v>59.241310326609479</v>
      </c>
      <c r="Y511">
        <v>8.7586896733905206</v>
      </c>
      <c r="Z511">
        <v>8.7858747699615094</v>
      </c>
      <c r="AA511">
        <v>3.0941821142199321E-3</v>
      </c>
      <c r="AB511">
        <v>2.3802517548746982</v>
      </c>
      <c r="AC511">
        <v>1.5986185338701642E-3</v>
      </c>
      <c r="AD511">
        <v>-0.50738317096904828</v>
      </c>
      <c r="AE511">
        <v>-0.43120963897313608</v>
      </c>
    </row>
    <row r="512" spans="23:31" x14ac:dyDescent="0.25">
      <c r="W512">
        <v>59.8</v>
      </c>
      <c r="X512">
        <v>58.03440862296744</v>
      </c>
      <c r="Y512">
        <v>1.7655913770325569</v>
      </c>
      <c r="Z512">
        <v>1.7719717622130844</v>
      </c>
      <c r="AA512">
        <v>3.6007262173061499E-3</v>
      </c>
      <c r="AB512">
        <v>0.47993709447156552</v>
      </c>
      <c r="AC512">
        <v>7.5671553396561162E-5</v>
      </c>
      <c r="AD512">
        <v>-0.50738317096904828</v>
      </c>
      <c r="AE512">
        <v>-0.42971893730839161</v>
      </c>
    </row>
    <row r="513" spans="23:31" x14ac:dyDescent="0.25">
      <c r="W513">
        <v>58.5</v>
      </c>
      <c r="X513">
        <v>60.685997549156568</v>
      </c>
      <c r="Y513">
        <v>-2.1859975491565677</v>
      </c>
      <c r="Z513">
        <v>-2.2144402718784164</v>
      </c>
      <c r="AA513">
        <v>1.2844204056008534E-2</v>
      </c>
      <c r="AB513">
        <v>-0.59699080332322141</v>
      </c>
      <c r="AC513">
        <v>4.2156455981416505E-4</v>
      </c>
      <c r="AD513">
        <v>-0.50738317096904828</v>
      </c>
      <c r="AE513">
        <v>-0.42835765226208899</v>
      </c>
    </row>
    <row r="514" spans="23:31" x14ac:dyDescent="0.25">
      <c r="W514">
        <v>69.7</v>
      </c>
      <c r="X514">
        <v>78.003636545382903</v>
      </c>
      <c r="Y514">
        <v>-8.3036365453829006</v>
      </c>
      <c r="Z514">
        <v>-8.3537980193660388</v>
      </c>
      <c r="AA514">
        <v>6.0046309315656505E-3</v>
      </c>
      <c r="AB514">
        <v>-2.2598882865029686</v>
      </c>
      <c r="AC514">
        <v>2.8046793381795816E-3</v>
      </c>
      <c r="AD514">
        <v>-0.50738317096904828</v>
      </c>
      <c r="AE514">
        <v>-0.42816830843250114</v>
      </c>
    </row>
    <row r="515" spans="23:31" x14ac:dyDescent="0.25">
      <c r="W515">
        <v>69.599999999999994</v>
      </c>
      <c r="X515">
        <v>74.741807127706323</v>
      </c>
      <c r="Y515">
        <v>-5.1418071277063291</v>
      </c>
      <c r="Z515">
        <v>-5.1734429455400317</v>
      </c>
      <c r="AA515">
        <v>6.1150414079620997E-3</v>
      </c>
      <c r="AB515">
        <v>-1.3994537266436706</v>
      </c>
      <c r="AC515">
        <v>1.0954377040729739E-3</v>
      </c>
      <c r="AD515">
        <v>-0.50738317096904828</v>
      </c>
      <c r="AE515">
        <v>-0.42792503277344046</v>
      </c>
    </row>
    <row r="516" spans="23:31" x14ac:dyDescent="0.25">
      <c r="W516">
        <v>69.400000000000006</v>
      </c>
      <c r="X516">
        <v>72.447865497536114</v>
      </c>
      <c r="Y516">
        <v>-3.0478654975361081</v>
      </c>
      <c r="Z516">
        <v>-3.0754305946238816</v>
      </c>
      <c r="AA516">
        <v>8.9630041191490518E-3</v>
      </c>
      <c r="AB516">
        <v>-0.83073342345357659</v>
      </c>
      <c r="AC516">
        <v>5.6740663743895233E-4</v>
      </c>
      <c r="AD516">
        <v>-0.4918835074548818</v>
      </c>
      <c r="AE516">
        <v>-0.42517508734925652</v>
      </c>
    </row>
    <row r="517" spans="23:31" x14ac:dyDescent="0.25">
      <c r="W517">
        <v>69.2</v>
      </c>
      <c r="X517">
        <v>74.206334770873653</v>
      </c>
      <c r="Y517">
        <v>-5.0063347708736501</v>
      </c>
      <c r="Z517">
        <v>-5.0342989040890274</v>
      </c>
      <c r="AA517">
        <v>5.5547224644646991E-3</v>
      </c>
      <c r="AB517">
        <v>-1.362198075732699</v>
      </c>
      <c r="AC517">
        <v>9.4225687487483451E-4</v>
      </c>
      <c r="AD517">
        <v>-0.4918835074548818</v>
      </c>
      <c r="AE517">
        <v>-0.42506500358471266</v>
      </c>
    </row>
    <row r="518" spans="23:31" x14ac:dyDescent="0.25">
      <c r="W518">
        <v>69.099999999999994</v>
      </c>
      <c r="X518">
        <v>77.194434155799954</v>
      </c>
      <c r="Y518">
        <v>-8.0944341557999593</v>
      </c>
      <c r="Z518">
        <v>-8.1291992779891018</v>
      </c>
      <c r="AA518">
        <v>4.2765739896760205E-3</v>
      </c>
      <c r="AB518">
        <v>-2.2010400869221303</v>
      </c>
      <c r="AC518">
        <v>1.8915615825667487E-3</v>
      </c>
      <c r="AD518">
        <v>-0.4918835074548818</v>
      </c>
      <c r="AE518">
        <v>-0.42398616507538184</v>
      </c>
    </row>
    <row r="519" spans="23:31" x14ac:dyDescent="0.25">
      <c r="W519">
        <v>68.900000000000006</v>
      </c>
      <c r="X519">
        <v>76.670264526179238</v>
      </c>
      <c r="Y519">
        <v>-7.7702645261792327</v>
      </c>
      <c r="Z519">
        <v>-7.8003409730454507</v>
      </c>
      <c r="AA519">
        <v>3.8557861727013792E-3</v>
      </c>
      <c r="AB519">
        <v>-2.112445511720376</v>
      </c>
      <c r="AC519">
        <v>1.570250972139374E-3</v>
      </c>
      <c r="AD519">
        <v>-0.4918835074548818</v>
      </c>
      <c r="AE519">
        <v>-0.4237631430477829</v>
      </c>
    </row>
    <row r="520" spans="23:31" x14ac:dyDescent="0.25">
      <c r="W520">
        <v>68.7</v>
      </c>
      <c r="X520">
        <v>76.365396062244798</v>
      </c>
      <c r="Y520">
        <v>-7.6653960622447954</v>
      </c>
      <c r="Z520">
        <v>-7.6973071703954474</v>
      </c>
      <c r="AA520">
        <v>4.1457496036253613E-3</v>
      </c>
      <c r="AB520">
        <v>-2.0842390505992121</v>
      </c>
      <c r="AC520">
        <v>1.6440296989746759E-3</v>
      </c>
      <c r="AD520">
        <v>-0.4918835074548818</v>
      </c>
      <c r="AE520">
        <v>-0.42150674207027844</v>
      </c>
    </row>
    <row r="521" spans="23:31" x14ac:dyDescent="0.25">
      <c r="W521">
        <v>68.599999999999994</v>
      </c>
      <c r="X521">
        <v>76.128290225235318</v>
      </c>
      <c r="Y521">
        <v>-7.5282902252353239</v>
      </c>
      <c r="Z521">
        <v>-7.5580319138484526</v>
      </c>
      <c r="AA521">
        <v>3.9351102181279622E-3</v>
      </c>
      <c r="AB521">
        <v>-2.0467432057350821</v>
      </c>
      <c r="AC521">
        <v>1.5045384763912293E-3</v>
      </c>
      <c r="AD521">
        <v>-0.48332360885611292</v>
      </c>
      <c r="AE521">
        <v>-0.42134402236430096</v>
      </c>
    </row>
    <row r="522" spans="23:31" x14ac:dyDescent="0.25">
      <c r="W522">
        <v>68.5</v>
      </c>
      <c r="X522">
        <v>72.59819759973584</v>
      </c>
      <c r="Y522">
        <v>-4.0981975997358404</v>
      </c>
      <c r="Z522">
        <v>-4.1137866814713107</v>
      </c>
      <c r="AA522">
        <v>3.7894725571650197E-3</v>
      </c>
      <c r="AB522">
        <v>-1.1141102023107983</v>
      </c>
      <c r="AC522">
        <v>4.292311746302338E-4</v>
      </c>
      <c r="AD522">
        <v>-0.48332360885611292</v>
      </c>
      <c r="AE522">
        <v>-0.42098358464775093</v>
      </c>
    </row>
    <row r="523" spans="23:31" x14ac:dyDescent="0.25">
      <c r="W523">
        <v>68.3</v>
      </c>
      <c r="X523">
        <v>72.413759091012992</v>
      </c>
      <c r="Y523">
        <v>-4.1137590910129944</v>
      </c>
      <c r="Z523">
        <v>-4.1293840380098175</v>
      </c>
      <c r="AA523">
        <v>3.783844479707978E-3</v>
      </c>
      <c r="AB523">
        <v>-1.118337492362059</v>
      </c>
      <c r="AC523">
        <v>4.3184985925628303E-4</v>
      </c>
      <c r="AD523">
        <v>-0.48332360885611292</v>
      </c>
      <c r="AE523">
        <v>-0.42051179459954585</v>
      </c>
    </row>
    <row r="524" spans="23:31" x14ac:dyDescent="0.25">
      <c r="W524">
        <v>68.099999999999994</v>
      </c>
      <c r="X524">
        <v>71.768476383230222</v>
      </c>
      <c r="Y524">
        <v>-3.6684763832302281</v>
      </c>
      <c r="Z524">
        <v>-3.6817365071591723</v>
      </c>
      <c r="AA524">
        <v>3.6015950362455816E-3</v>
      </c>
      <c r="AB524">
        <v>-0.99719487023457976</v>
      </c>
      <c r="AC524">
        <v>3.2676026664794759E-4</v>
      </c>
      <c r="AD524">
        <v>-0.48332360885611292</v>
      </c>
      <c r="AE524">
        <v>-0.41724829078674047</v>
      </c>
    </row>
    <row r="525" spans="23:31" x14ac:dyDescent="0.25">
      <c r="W525">
        <v>68</v>
      </c>
      <c r="X525">
        <v>75.212346131445557</v>
      </c>
      <c r="Y525">
        <v>-7.2123461314455568</v>
      </c>
      <c r="Z525">
        <v>-7.2383777897570525</v>
      </c>
      <c r="AA525">
        <v>3.5963387194752464E-3</v>
      </c>
      <c r="AB525">
        <v>-1.9605129876933254</v>
      </c>
      <c r="AC525">
        <v>1.2611653679308707E-3</v>
      </c>
      <c r="AD525">
        <v>-0.48332360885611292</v>
      </c>
      <c r="AE525">
        <v>-0.41690836915300933</v>
      </c>
    </row>
    <row r="526" spans="23:31" x14ac:dyDescent="0.25">
      <c r="W526">
        <v>67.900000000000006</v>
      </c>
      <c r="X526">
        <v>75.110773600002673</v>
      </c>
      <c r="Y526">
        <v>-7.2107736000026676</v>
      </c>
      <c r="Z526">
        <v>-7.2354947030832903</v>
      </c>
      <c r="AA526">
        <v>3.4166431039033599E-3</v>
      </c>
      <c r="AB526">
        <v>-1.9599088095068271</v>
      </c>
      <c r="AC526">
        <v>1.1971953747865582E-3</v>
      </c>
      <c r="AD526">
        <v>-0.47479897905845492</v>
      </c>
      <c r="AE526">
        <v>-0.41600667985450313</v>
      </c>
    </row>
    <row r="527" spans="23:31" x14ac:dyDescent="0.25">
      <c r="W527">
        <v>67.8</v>
      </c>
      <c r="X527">
        <v>71.183948357611058</v>
      </c>
      <c r="Y527">
        <v>-3.3839483576110609</v>
      </c>
      <c r="Z527">
        <v>-3.3951838525560305</v>
      </c>
      <c r="AA527">
        <v>3.3092449283741812E-3</v>
      </c>
      <c r="AB527">
        <v>-0.91971724922476383</v>
      </c>
      <c r="AC527">
        <v>2.5531977927162883E-4</v>
      </c>
      <c r="AD527">
        <v>-0.47479897905845492</v>
      </c>
      <c r="AE527">
        <v>-0.41319519728766252</v>
      </c>
    </row>
    <row r="528" spans="23:31" x14ac:dyDescent="0.25">
      <c r="W528">
        <v>67.7</v>
      </c>
      <c r="X528">
        <v>67.595993826345691</v>
      </c>
      <c r="Y528">
        <v>0.10400617365431231</v>
      </c>
      <c r="Z528">
        <v>0.10562480736273017</v>
      </c>
      <c r="AA528">
        <v>1.5324370749967188E-2</v>
      </c>
      <c r="AB528">
        <v>2.8439590881750246E-2</v>
      </c>
      <c r="AC528">
        <v>1.14430939930471E-6</v>
      </c>
      <c r="AD528">
        <v>-0.47479897905845492</v>
      </c>
      <c r="AE528">
        <v>-0.41290402906194307</v>
      </c>
    </row>
    <row r="529" spans="23:31" x14ac:dyDescent="0.25">
      <c r="W529">
        <v>82.2</v>
      </c>
      <c r="X529">
        <v>82.010135077101751</v>
      </c>
      <c r="Y529">
        <v>0.18986492289825208</v>
      </c>
      <c r="Z529">
        <v>0.19179431208763731</v>
      </c>
      <c r="AA529">
        <v>1.0059678873574191E-2</v>
      </c>
      <c r="AB529">
        <v>5.177868902082923E-2</v>
      </c>
      <c r="AC529">
        <v>2.4767633874997325E-6</v>
      </c>
      <c r="AD529">
        <v>-0.46970075330452549</v>
      </c>
      <c r="AE529">
        <v>-0.40951497411889892</v>
      </c>
    </row>
    <row r="530" spans="23:31" x14ac:dyDescent="0.25">
      <c r="W530">
        <v>82</v>
      </c>
      <c r="X530">
        <v>81.945227553596126</v>
      </c>
      <c r="Y530">
        <v>5.4772446403873687E-2</v>
      </c>
      <c r="Z530">
        <v>5.5317558218831664E-2</v>
      </c>
      <c r="AA530">
        <v>9.8542277083527117E-3</v>
      </c>
      <c r="AB530">
        <v>1.4935624636892604E-2</v>
      </c>
      <c r="AC530">
        <v>2.0182620387406719E-7</v>
      </c>
      <c r="AD530">
        <v>-0.46970075330452549</v>
      </c>
      <c r="AE530">
        <v>-0.40870264505225873</v>
      </c>
    </row>
    <row r="531" spans="23:31" x14ac:dyDescent="0.25">
      <c r="W531">
        <v>81.5</v>
      </c>
      <c r="X531">
        <v>79.038090922508957</v>
      </c>
      <c r="Y531">
        <v>2.4619090774910433</v>
      </c>
      <c r="Z531">
        <v>2.4765507866184322</v>
      </c>
      <c r="AA531">
        <v>5.912137641795755E-3</v>
      </c>
      <c r="AB531">
        <v>0.66999327587769897</v>
      </c>
      <c r="AC531">
        <v>2.4269898959514114E-4</v>
      </c>
      <c r="AD531">
        <v>-0.46970075330452549</v>
      </c>
      <c r="AE531">
        <v>-0.40690009304385272</v>
      </c>
    </row>
    <row r="532" spans="23:31" x14ac:dyDescent="0.25">
      <c r="W532">
        <v>81.7</v>
      </c>
      <c r="X532">
        <v>76.880436255991881</v>
      </c>
      <c r="Y532">
        <v>4.8195637440081214</v>
      </c>
      <c r="Z532">
        <v>4.879043752397763</v>
      </c>
      <c r="AA532">
        <v>1.21909151481598E-2</v>
      </c>
      <c r="AB532">
        <v>1.3157762428408182</v>
      </c>
      <c r="AC532">
        <v>1.9423821959584371E-3</v>
      </c>
      <c r="AD532">
        <v>-0.46970075330452549</v>
      </c>
      <c r="AE532">
        <v>-0.40617195300482223</v>
      </c>
    </row>
    <row r="533" spans="23:31" x14ac:dyDescent="0.25">
      <c r="W533">
        <v>81.3</v>
      </c>
      <c r="X533">
        <v>76.404585798755605</v>
      </c>
      <c r="Y533">
        <v>4.8954142012443924</v>
      </c>
      <c r="Z533">
        <v>4.9583116966391998</v>
      </c>
      <c r="AA533">
        <v>1.2685264509983512E-2</v>
      </c>
      <c r="AB533">
        <v>1.3368185213422996</v>
      </c>
      <c r="AC533">
        <v>2.0873541103299908E-3</v>
      </c>
      <c r="AD533">
        <v>-0.46970075330452549</v>
      </c>
      <c r="AE533">
        <v>-0.4058113659694722</v>
      </c>
    </row>
    <row r="534" spans="23:31" x14ac:dyDescent="0.25">
      <c r="W534">
        <v>81.099999999999994</v>
      </c>
      <c r="X534">
        <v>81.261770660594124</v>
      </c>
      <c r="Y534">
        <v>-0.16177066059412937</v>
      </c>
      <c r="Z534">
        <v>-0.16327044340573593</v>
      </c>
      <c r="AA534">
        <v>9.1858806794202653E-3</v>
      </c>
      <c r="AB534">
        <v>-4.4097552464845001E-2</v>
      </c>
      <c r="AC534">
        <v>1.6389469602365373E-6</v>
      </c>
      <c r="AD534">
        <v>-0.46123068213767926</v>
      </c>
      <c r="AE534">
        <v>-0.40400938740844061</v>
      </c>
    </row>
    <row r="535" spans="23:31" x14ac:dyDescent="0.25">
      <c r="W535">
        <v>89</v>
      </c>
      <c r="X535">
        <v>80.888315928990309</v>
      </c>
      <c r="Y535">
        <v>8.1116840710096909</v>
      </c>
      <c r="Z535">
        <v>8.2202462136165906</v>
      </c>
      <c r="AA535">
        <v>1.3206677730294325E-2</v>
      </c>
      <c r="AB535">
        <v>2.2156887201378654</v>
      </c>
      <c r="AC535">
        <v>5.9729954887265775E-3</v>
      </c>
      <c r="AD535">
        <v>-0.46123068213767926</v>
      </c>
      <c r="AE535">
        <v>-0.40300020387487995</v>
      </c>
    </row>
    <row r="536" spans="23:31" x14ac:dyDescent="0.25">
      <c r="W536">
        <v>89</v>
      </c>
      <c r="X536">
        <v>77.603353511759664</v>
      </c>
      <c r="Y536">
        <v>11.396646488240336</v>
      </c>
      <c r="Z536">
        <v>11.485393375107975</v>
      </c>
      <c r="AA536">
        <v>7.7269348962810533E-3</v>
      </c>
      <c r="AB536">
        <v>3.1043615505390836</v>
      </c>
      <c r="AC536">
        <v>6.8222551330297549E-3</v>
      </c>
      <c r="AD536">
        <v>-0.46123068213767926</v>
      </c>
      <c r="AE536">
        <v>-0.40150371578510935</v>
      </c>
    </row>
    <row r="537" spans="23:31" x14ac:dyDescent="0.25">
      <c r="W537">
        <v>86</v>
      </c>
      <c r="X537">
        <v>80.070818249500164</v>
      </c>
      <c r="Y537">
        <v>5.9291817504998363</v>
      </c>
      <c r="Z537">
        <v>5.9918107077167093</v>
      </c>
      <c r="AA537">
        <v>1.0452425864556728E-2</v>
      </c>
      <c r="AB537">
        <v>1.6172875525418255</v>
      </c>
      <c r="AC537">
        <v>2.5116679297395588E-3</v>
      </c>
      <c r="AD537">
        <v>-0.45616451589519369</v>
      </c>
      <c r="AE537">
        <v>-0.40048195732286751</v>
      </c>
    </row>
    <row r="538" spans="23:31" x14ac:dyDescent="0.25">
      <c r="W538">
        <v>81</v>
      </c>
      <c r="X538">
        <v>79.269524055103773</v>
      </c>
      <c r="Y538">
        <v>1.7304759448962272</v>
      </c>
      <c r="Z538">
        <v>1.7476945705530937</v>
      </c>
      <c r="AA538">
        <v>9.8521938255033224E-3</v>
      </c>
      <c r="AB538">
        <v>0.47187435120973531</v>
      </c>
      <c r="AC538">
        <v>2.0141554056669314E-4</v>
      </c>
      <c r="AD538">
        <v>-0.45616451589519369</v>
      </c>
      <c r="AE538">
        <v>-0.39877275185867594</v>
      </c>
    </row>
    <row r="539" spans="23:31" x14ac:dyDescent="0.25">
      <c r="W539">
        <v>82</v>
      </c>
      <c r="X539">
        <v>79.03089430784577</v>
      </c>
      <c r="Y539">
        <v>2.9691056921542298</v>
      </c>
      <c r="Z539">
        <v>2.9995758394959893</v>
      </c>
      <c r="AA539">
        <v>1.0158152009543033E-2</v>
      </c>
      <c r="AB539">
        <v>0.80975487678525171</v>
      </c>
      <c r="AC539">
        <v>6.1173503801828196E-4</v>
      </c>
      <c r="AD539">
        <v>-0.45616451589519369</v>
      </c>
      <c r="AE539">
        <v>-0.39825789364206876</v>
      </c>
    </row>
    <row r="540" spans="23:31" x14ac:dyDescent="0.25">
      <c r="W540">
        <v>79.3</v>
      </c>
      <c r="X540">
        <v>78.386870856998385</v>
      </c>
      <c r="Y540">
        <v>0.91312914300161196</v>
      </c>
      <c r="Z540">
        <v>0.921790493890839</v>
      </c>
      <c r="AA540">
        <v>9.3962250062519913E-3</v>
      </c>
      <c r="AB540">
        <v>0.24893905376958086</v>
      </c>
      <c r="AC540">
        <v>5.3437583797167723E-5</v>
      </c>
      <c r="AD540">
        <v>-0.45616451589519369</v>
      </c>
      <c r="AE540">
        <v>-0.39723668803603168</v>
      </c>
    </row>
    <row r="541" spans="23:31" x14ac:dyDescent="0.25">
      <c r="W541">
        <v>79.2</v>
      </c>
      <c r="X541">
        <v>79.63588935186273</v>
      </c>
      <c r="Y541">
        <v>-0.43588935186272693</v>
      </c>
      <c r="Z541">
        <v>-0.44013297448493915</v>
      </c>
      <c r="AA541">
        <v>9.6416830099580794E-3</v>
      </c>
      <c r="AB541">
        <v>-0.11884773337980899</v>
      </c>
      <c r="AC541">
        <v>1.2501139965558999E-5</v>
      </c>
      <c r="AD541">
        <v>-0.45616451589519369</v>
      </c>
      <c r="AE541">
        <v>-0.395602311405723</v>
      </c>
    </row>
    <row r="542" spans="23:31" x14ac:dyDescent="0.25">
      <c r="W542">
        <v>79</v>
      </c>
      <c r="X542">
        <v>80.098640632508548</v>
      </c>
      <c r="Y542">
        <v>-1.0986406325085483</v>
      </c>
      <c r="Z542">
        <v>-1.1050330928271137</v>
      </c>
      <c r="AA542">
        <v>5.7848587160462209E-3</v>
      </c>
      <c r="AB542">
        <v>-0.29896909077336759</v>
      </c>
      <c r="AC542">
        <v>4.7279435207902349E-5</v>
      </c>
      <c r="AD542">
        <v>-0.44774677320100181</v>
      </c>
      <c r="AE542">
        <v>-0.39546418607839873</v>
      </c>
    </row>
    <row r="543" spans="23:31" x14ac:dyDescent="0.25">
      <c r="W543">
        <v>78.8</v>
      </c>
      <c r="X543">
        <v>80.112387019015898</v>
      </c>
      <c r="Y543">
        <v>-1.312387019015901</v>
      </c>
      <c r="Z543">
        <v>-1.3196202959198615</v>
      </c>
      <c r="AA543">
        <v>5.4813319606551621E-3</v>
      </c>
      <c r="AB543">
        <v>-0.35708061680122816</v>
      </c>
      <c r="AC543">
        <v>6.3887079044217671E-5</v>
      </c>
      <c r="AD543">
        <v>-0.44774677320100181</v>
      </c>
      <c r="AE543">
        <v>-0.39410025486763889</v>
      </c>
    </row>
    <row r="544" spans="23:31" x14ac:dyDescent="0.25">
      <c r="W544">
        <v>65.5</v>
      </c>
      <c r="X544">
        <v>67.300644103977518</v>
      </c>
      <c r="Y544">
        <v>-1.8006441039775183</v>
      </c>
      <c r="Z544">
        <v>-1.8241244094617883</v>
      </c>
      <c r="AA544">
        <v>1.2872096531616837E-2</v>
      </c>
      <c r="AB544">
        <v>-0.49175862877382659</v>
      </c>
      <c r="AC544">
        <v>2.8667323853535291E-4</v>
      </c>
      <c r="AD544">
        <v>-0.44438857281516719</v>
      </c>
      <c r="AE544">
        <v>-0.39396745282561629</v>
      </c>
    </row>
    <row r="545" spans="23:31" x14ac:dyDescent="0.25">
      <c r="W545">
        <v>64.599999999999994</v>
      </c>
      <c r="X545">
        <v>66.877997688501665</v>
      </c>
      <c r="Y545">
        <v>-2.2779976885016708</v>
      </c>
      <c r="Z545">
        <v>-2.284696034413642</v>
      </c>
      <c r="AA545">
        <v>2.9318324236931085E-3</v>
      </c>
      <c r="AB545">
        <v>-0.61901571339269468</v>
      </c>
      <c r="AC545">
        <v>1.0242947674131586E-4</v>
      </c>
      <c r="AD545">
        <v>-0.44438857281516719</v>
      </c>
      <c r="AE545">
        <v>-0.39290238233973501</v>
      </c>
    </row>
    <row r="546" spans="23:31" x14ac:dyDescent="0.25">
      <c r="W546">
        <v>63.5</v>
      </c>
      <c r="X546">
        <v>66.205809697417024</v>
      </c>
      <c r="Y546">
        <v>-2.705809697417024</v>
      </c>
      <c r="Z546">
        <v>-2.7143631944204714</v>
      </c>
      <c r="AA546">
        <v>3.1511984177464815E-3</v>
      </c>
      <c r="AB546">
        <v>-0.73534885988322973</v>
      </c>
      <c r="AC546">
        <v>1.5539628078730367E-4</v>
      </c>
      <c r="AD546">
        <v>-0.44438857281516719</v>
      </c>
      <c r="AE546">
        <v>-0.39241444871938641</v>
      </c>
    </row>
    <row r="547" spans="23:31" x14ac:dyDescent="0.25">
      <c r="W547">
        <v>62.8</v>
      </c>
      <c r="X547">
        <v>64.899104633325038</v>
      </c>
      <c r="Y547">
        <v>-2.0991046333250409</v>
      </c>
      <c r="Z547">
        <v>-2.1073160853754871</v>
      </c>
      <c r="AA547">
        <v>3.8966399523208952E-3</v>
      </c>
      <c r="AB547">
        <v>-0.57068006855793985</v>
      </c>
      <c r="AC547">
        <v>1.1581867663859133E-4</v>
      </c>
      <c r="AD547">
        <v>-0.44438857281516719</v>
      </c>
      <c r="AE547">
        <v>-0.39109151565144484</v>
      </c>
    </row>
    <row r="548" spans="23:31" x14ac:dyDescent="0.25">
      <c r="W548">
        <v>62.3</v>
      </c>
      <c r="X548">
        <v>64.16082393258344</v>
      </c>
      <c r="Y548">
        <v>-1.8608239325834433</v>
      </c>
      <c r="Z548">
        <v>-1.8685003196136876</v>
      </c>
      <c r="AA548">
        <v>4.1083145395620271E-3</v>
      </c>
      <c r="AB548">
        <v>-0.50595285368432052</v>
      </c>
      <c r="AC548">
        <v>9.600171564294786E-5</v>
      </c>
      <c r="AD548">
        <v>-0.44438857281516719</v>
      </c>
      <c r="AE548">
        <v>-0.38444830286127296</v>
      </c>
    </row>
    <row r="549" spans="23:31" x14ac:dyDescent="0.25">
      <c r="W549">
        <v>61.7</v>
      </c>
      <c r="X549">
        <v>68.46299055406044</v>
      </c>
      <c r="Y549">
        <v>-6.7629905540604369</v>
      </c>
      <c r="Z549">
        <v>-6.8087056353163149</v>
      </c>
      <c r="AA549">
        <v>6.7142102632196362E-3</v>
      </c>
      <c r="AB549">
        <v>-1.8412488546179182</v>
      </c>
      <c r="AC549">
        <v>2.0833057350812486E-3</v>
      </c>
      <c r="AD549">
        <v>-0.44438857281516719</v>
      </c>
      <c r="AE549">
        <v>-0.38357215242881054</v>
      </c>
    </row>
    <row r="550" spans="23:31" x14ac:dyDescent="0.25">
      <c r="W550">
        <v>61.6</v>
      </c>
      <c r="X550">
        <v>63.233787092067587</v>
      </c>
      <c r="Y550">
        <v>-1.6337870920675854</v>
      </c>
      <c r="Z550">
        <v>-1.6413662839215561</v>
      </c>
      <c r="AA550">
        <v>4.6176115156103779E-3</v>
      </c>
      <c r="AB550">
        <v>-0.44433579871075507</v>
      </c>
      <c r="AC550">
        <v>8.3264017848127037E-5</v>
      </c>
      <c r="AD550">
        <v>-0.44438857281516719</v>
      </c>
      <c r="AE550">
        <v>-0.38288971171992497</v>
      </c>
    </row>
    <row r="551" spans="23:31" x14ac:dyDescent="0.25">
      <c r="W551">
        <v>61.6</v>
      </c>
      <c r="X551">
        <v>63.013672612399503</v>
      </c>
      <c r="Y551">
        <v>-1.4136726123995018</v>
      </c>
      <c r="Z551">
        <v>-1.420055805707733</v>
      </c>
      <c r="AA551">
        <v>4.4950299013419865E-3</v>
      </c>
      <c r="AB551">
        <v>-0.38444830286127296</v>
      </c>
      <c r="AC551">
        <v>6.0669772078095729E-5</v>
      </c>
      <c r="AD551">
        <v>-0.43267393579163727</v>
      </c>
      <c r="AE551">
        <v>-0.38270221500785673</v>
      </c>
    </row>
    <row r="552" spans="23:31" x14ac:dyDescent="0.25">
      <c r="W552">
        <v>61.4</v>
      </c>
      <c r="X552">
        <v>61.838788847207034</v>
      </c>
      <c r="Y552">
        <v>-0.43878884720703581</v>
      </c>
      <c r="Z552">
        <v>-0.44175178424254824</v>
      </c>
      <c r="AA552">
        <v>6.7072440705498119E-3</v>
      </c>
      <c r="AB552">
        <v>-0.11946144576317244</v>
      </c>
      <c r="AC552">
        <v>8.7605160519501339E-6</v>
      </c>
      <c r="AD552">
        <v>-0.43267393579163727</v>
      </c>
      <c r="AE552">
        <v>-0.38269228144182438</v>
      </c>
    </row>
    <row r="553" spans="23:31" x14ac:dyDescent="0.25">
      <c r="W553">
        <v>65</v>
      </c>
      <c r="X553">
        <v>65.353472292910908</v>
      </c>
      <c r="Y553">
        <v>-0.35347229291090798</v>
      </c>
      <c r="Z553">
        <v>-0.35837776036585467</v>
      </c>
      <c r="AA553">
        <v>1.3687979549694486E-2</v>
      </c>
      <c r="AB553">
        <v>-9.6573736332897231E-2</v>
      </c>
      <c r="AC553">
        <v>1.1766584141025176E-5</v>
      </c>
      <c r="AD553">
        <v>-0.43267393579163727</v>
      </c>
      <c r="AE553">
        <v>-0.38109470083424807</v>
      </c>
    </row>
    <row r="554" spans="23:31" x14ac:dyDescent="0.25">
      <c r="W554">
        <v>74.5</v>
      </c>
      <c r="X554">
        <v>74.144674826399637</v>
      </c>
      <c r="Y554">
        <v>0.35532517360036309</v>
      </c>
      <c r="Z554">
        <v>0.35589105379850139</v>
      </c>
      <c r="AA554">
        <v>1.5900377154766984E-3</v>
      </c>
      <c r="AB554">
        <v>9.6490008355923598E-2</v>
      </c>
      <c r="AC554">
        <v>1.3479398812619718E-6</v>
      </c>
      <c r="AD554">
        <v>-0.43267393579163727</v>
      </c>
      <c r="AE554">
        <v>-0.37488689521526086</v>
      </c>
    </row>
    <row r="555" spans="23:31" x14ac:dyDescent="0.25">
      <c r="W555">
        <v>74.5</v>
      </c>
      <c r="X555">
        <v>74.047150572470258</v>
      </c>
      <c r="Y555">
        <v>0.45284942752974189</v>
      </c>
      <c r="Z555">
        <v>0.45353479916016681</v>
      </c>
      <c r="AA555">
        <v>1.5111776024663384E-3</v>
      </c>
      <c r="AB555">
        <v>0.12296826326173722</v>
      </c>
      <c r="AC555">
        <v>2.0804902946249328E-6</v>
      </c>
      <c r="AD555">
        <v>-0.42600652312983872</v>
      </c>
      <c r="AE555">
        <v>-0.37430212761038956</v>
      </c>
    </row>
    <row r="556" spans="23:31" x14ac:dyDescent="0.25">
      <c r="W556">
        <v>74.2</v>
      </c>
      <c r="X556">
        <v>75.837962770299228</v>
      </c>
      <c r="Y556">
        <v>-1.6379627702992252</v>
      </c>
      <c r="Z556">
        <v>-1.6432472381389829</v>
      </c>
      <c r="AA556">
        <v>3.2158689922699175E-3</v>
      </c>
      <c r="AB556">
        <v>-0.44515810881082368</v>
      </c>
      <c r="AC556">
        <v>5.8121006315966963E-5</v>
      </c>
      <c r="AD556">
        <v>-0.42600652312983872</v>
      </c>
      <c r="AE556">
        <v>-0.37387929621535504</v>
      </c>
    </row>
    <row r="557" spans="23:31" x14ac:dyDescent="0.25">
      <c r="W557">
        <v>73.900000000000006</v>
      </c>
      <c r="X557">
        <v>73.655133902203119</v>
      </c>
      <c r="Y557">
        <v>0.24486609779688706</v>
      </c>
      <c r="Z557">
        <v>0.24560026236872545</v>
      </c>
      <c r="AA557">
        <v>2.9892662359231282E-3</v>
      </c>
      <c r="AB557">
        <v>6.6541036788144048E-2</v>
      </c>
      <c r="AC557">
        <v>1.2068441913682498E-6</v>
      </c>
      <c r="AD557">
        <v>-0.42600652312983872</v>
      </c>
      <c r="AE557">
        <v>-0.37217121430541245</v>
      </c>
    </row>
    <row r="558" spans="23:31" x14ac:dyDescent="0.25">
      <c r="W558">
        <v>73.8</v>
      </c>
      <c r="X558">
        <v>72.975518393623872</v>
      </c>
      <c r="Y558">
        <v>0.82448160637612489</v>
      </c>
      <c r="Z558">
        <v>0.82802487344144993</v>
      </c>
      <c r="AA558">
        <v>4.279179501701532E-3</v>
      </c>
      <c r="AB558">
        <v>0.22419348973955588</v>
      </c>
      <c r="AC558">
        <v>1.9637049069225718E-5</v>
      </c>
      <c r="AD558">
        <v>-0.42600652312983872</v>
      </c>
      <c r="AE558">
        <v>-0.37180558963891369</v>
      </c>
    </row>
    <row r="559" spans="23:31" x14ac:dyDescent="0.25">
      <c r="W559">
        <v>73.2</v>
      </c>
      <c r="X559">
        <v>72.294554480839196</v>
      </c>
      <c r="Y559">
        <v>0.90544551916080707</v>
      </c>
      <c r="Z559">
        <v>0.9096020511696139</v>
      </c>
      <c r="AA559">
        <v>4.5696159144120226E-3</v>
      </c>
      <c r="AB559">
        <v>0.24624515680202702</v>
      </c>
      <c r="AC559">
        <v>2.5305301449276591E-5</v>
      </c>
      <c r="AD559">
        <v>-0.42600652312983872</v>
      </c>
      <c r="AE559">
        <v>-0.3714162272670351</v>
      </c>
    </row>
    <row r="560" spans="23:31" x14ac:dyDescent="0.25">
      <c r="W560">
        <v>73.900000000000006</v>
      </c>
      <c r="X560">
        <v>71.59040440383778</v>
      </c>
      <c r="Y560">
        <v>2.3095955961622252</v>
      </c>
      <c r="Z560">
        <v>2.3241739721525789</v>
      </c>
      <c r="AA560">
        <v>6.2724977411455374E-3</v>
      </c>
      <c r="AB560">
        <v>0.62865606251749262</v>
      </c>
      <c r="AC560">
        <v>2.2678103609736222E-4</v>
      </c>
      <c r="AD560">
        <v>-0.42600652312983872</v>
      </c>
      <c r="AE560">
        <v>-0.36514722040461456</v>
      </c>
    </row>
    <row r="561" spans="23:31" x14ac:dyDescent="0.25">
      <c r="W561">
        <v>74.400000000000006</v>
      </c>
      <c r="X561">
        <v>74.59308433307919</v>
      </c>
      <c r="Y561">
        <v>-0.19308433307918449</v>
      </c>
      <c r="Z561">
        <v>-0.19386869518891103</v>
      </c>
      <c r="AA561">
        <v>4.045842001255984E-3</v>
      </c>
      <c r="AB561">
        <v>-5.2497446775203488E-2</v>
      </c>
      <c r="AC561">
        <v>1.0177784433380151E-6</v>
      </c>
      <c r="AD561">
        <v>-0.42600652312983872</v>
      </c>
      <c r="AE561">
        <v>-0.36432844419911148</v>
      </c>
    </row>
    <row r="562" spans="23:31" x14ac:dyDescent="0.25">
      <c r="W562">
        <v>73.900000000000006</v>
      </c>
      <c r="X562">
        <v>72.54123014175066</v>
      </c>
      <c r="Y562">
        <v>1.3587698582493459</v>
      </c>
      <c r="Z562">
        <v>1.3614274508329203</v>
      </c>
      <c r="AA562">
        <v>1.9520633155676423E-3</v>
      </c>
      <c r="AB562">
        <v>0.36904644296246913</v>
      </c>
      <c r="AC562">
        <v>2.4216527113184769E-5</v>
      </c>
      <c r="AD562">
        <v>-0.42600652312983872</v>
      </c>
      <c r="AE562">
        <v>-0.36422318401791909</v>
      </c>
    </row>
    <row r="563" spans="23:31" x14ac:dyDescent="0.25">
      <c r="W563">
        <v>73.900000000000006</v>
      </c>
      <c r="X563">
        <v>71.975965217697265</v>
      </c>
      <c r="Y563">
        <v>1.9240347823027406</v>
      </c>
      <c r="Z563">
        <v>1.9282086129287848</v>
      </c>
      <c r="AA563">
        <v>2.1646156946191495E-3</v>
      </c>
      <c r="AB563">
        <v>0.52262994368535598</v>
      </c>
      <c r="AC563">
        <v>5.3866380529662186E-5</v>
      </c>
      <c r="AD563">
        <v>-0.41272795222137554</v>
      </c>
      <c r="AE563">
        <v>-0.36294562767980326</v>
      </c>
    </row>
    <row r="564" spans="23:31" x14ac:dyDescent="0.25">
      <c r="W564">
        <v>72.3</v>
      </c>
      <c r="X564">
        <v>71.566835637523326</v>
      </c>
      <c r="Y564">
        <v>0.73316436247667127</v>
      </c>
      <c r="Z564">
        <v>0.73481994368468406</v>
      </c>
      <c r="AA564">
        <v>2.2530433778292155E-3</v>
      </c>
      <c r="AB564">
        <v>0.19915992811409924</v>
      </c>
      <c r="AC564">
        <v>8.1425489498913141E-6</v>
      </c>
      <c r="AD564">
        <v>-0.41272795222137554</v>
      </c>
      <c r="AE564">
        <v>-0.35708061680122816</v>
      </c>
    </row>
    <row r="565" spans="23:31" x14ac:dyDescent="0.25">
      <c r="W565">
        <v>72.7</v>
      </c>
      <c r="X565">
        <v>71.285856409864152</v>
      </c>
      <c r="Y565">
        <v>1.4141435901358506</v>
      </c>
      <c r="Z565">
        <v>1.4174458464181185</v>
      </c>
      <c r="AA565">
        <v>2.329723065342698E-3</v>
      </c>
      <c r="AB565">
        <v>0.3841588233668638</v>
      </c>
      <c r="AC565">
        <v>3.1328976402232283E-5</v>
      </c>
      <c r="AD565">
        <v>-0.41272795222137554</v>
      </c>
      <c r="AE565">
        <v>-0.35385504647660382</v>
      </c>
    </row>
    <row r="566" spans="23:31" x14ac:dyDescent="0.25">
      <c r="W566">
        <v>71.7</v>
      </c>
      <c r="X566">
        <v>71.277941890166304</v>
      </c>
      <c r="Y566">
        <v>0.42205810983369929</v>
      </c>
      <c r="Z566">
        <v>0.42305339950426912</v>
      </c>
      <c r="AA566">
        <v>2.3526336668858558E-3</v>
      </c>
      <c r="AB566">
        <v>0.11465540677654469</v>
      </c>
      <c r="AC566">
        <v>2.8182118778266264E-6</v>
      </c>
      <c r="AD566">
        <v>-0.40776731506460179</v>
      </c>
      <c r="AE566">
        <v>-0.35262245242739565</v>
      </c>
    </row>
    <row r="567" spans="23:31" x14ac:dyDescent="0.25">
      <c r="W567">
        <v>73</v>
      </c>
      <c r="X567">
        <v>71.501374426034261</v>
      </c>
      <c r="Y567">
        <v>1.4986255739657395</v>
      </c>
      <c r="Z567">
        <v>1.5013278994818222</v>
      </c>
      <c r="AA567">
        <v>1.7999569028298999E-3</v>
      </c>
      <c r="AB567">
        <v>0.40700071054967407</v>
      </c>
      <c r="AC567">
        <v>2.7154522613169213E-5</v>
      </c>
      <c r="AD567">
        <v>-0.40776731506460179</v>
      </c>
      <c r="AE567">
        <v>-0.35073788772068437</v>
      </c>
    </row>
    <row r="568" spans="23:31" x14ac:dyDescent="0.25">
      <c r="W568">
        <v>71.8</v>
      </c>
      <c r="X568">
        <v>62.137095078042037</v>
      </c>
      <c r="Y568">
        <v>9.6629049219579599</v>
      </c>
      <c r="Z568">
        <v>9.9238591277680541</v>
      </c>
      <c r="AA568">
        <v>2.6295637861274535E-2</v>
      </c>
      <c r="AB568">
        <v>2.6570820684969787</v>
      </c>
      <c r="AC568">
        <v>1.7333004365091401E-2</v>
      </c>
      <c r="AD568">
        <v>-0.40776731506460179</v>
      </c>
      <c r="AE568">
        <v>-0.35004986182688813</v>
      </c>
    </row>
    <row r="569" spans="23:31" x14ac:dyDescent="0.25">
      <c r="W569">
        <v>89</v>
      </c>
      <c r="X569">
        <v>80.553907422723483</v>
      </c>
      <c r="Y569">
        <v>8.4460925772765165</v>
      </c>
      <c r="Z569">
        <v>8.4948479546825695</v>
      </c>
      <c r="AA569">
        <v>5.7394055392336295E-3</v>
      </c>
      <c r="AB569">
        <v>2.2983520037331493</v>
      </c>
      <c r="AC569">
        <v>2.7720884766122581E-3</v>
      </c>
      <c r="AD569">
        <v>-0.40776731506460179</v>
      </c>
      <c r="AE569">
        <v>-0.34657156569192155</v>
      </c>
    </row>
    <row r="570" spans="23:31" x14ac:dyDescent="0.25">
      <c r="W570">
        <v>86</v>
      </c>
      <c r="X570">
        <v>80.373834224007567</v>
      </c>
      <c r="Y570">
        <v>5.6261657759924333</v>
      </c>
      <c r="Z570">
        <v>5.6576070017200806</v>
      </c>
      <c r="AA570">
        <v>5.5573364707187803E-3</v>
      </c>
      <c r="AB570">
        <v>1.5308529328040448</v>
      </c>
      <c r="AC570">
        <v>1.1905871747138154E-3</v>
      </c>
      <c r="AD570">
        <v>-0.40776731506460179</v>
      </c>
      <c r="AE570">
        <v>-0.34521761745970231</v>
      </c>
    </row>
    <row r="571" spans="23:31" x14ac:dyDescent="0.25">
      <c r="W571">
        <v>86</v>
      </c>
      <c r="X571">
        <v>77.588447255619627</v>
      </c>
      <c r="Y571">
        <v>8.4115527443803728</v>
      </c>
      <c r="Z571">
        <v>8.5145507206003401</v>
      </c>
      <c r="AA571">
        <v>1.2096701235306895E-2</v>
      </c>
      <c r="AB571">
        <v>2.2963060747828341</v>
      </c>
      <c r="AC571">
        <v>5.8697470095816521E-3</v>
      </c>
      <c r="AD571">
        <v>-0.40776731506460179</v>
      </c>
      <c r="AE571">
        <v>-0.34089476378821237</v>
      </c>
    </row>
    <row r="572" spans="23:31" x14ac:dyDescent="0.25">
      <c r="W572">
        <v>85</v>
      </c>
      <c r="X572">
        <v>77.388543402926643</v>
      </c>
      <c r="Y572">
        <v>7.6114565970733565</v>
      </c>
      <c r="Z572">
        <v>7.7047351333925747</v>
      </c>
      <c r="AA572">
        <v>1.2106650612160631E-2</v>
      </c>
      <c r="AB572">
        <v>2.0778948390459817</v>
      </c>
      <c r="AC572">
        <v>4.8102582281968863E-3</v>
      </c>
      <c r="AD572">
        <v>-0.39787592189543292</v>
      </c>
      <c r="AE572">
        <v>-0.33921914278836146</v>
      </c>
    </row>
    <row r="573" spans="23:31" x14ac:dyDescent="0.25">
      <c r="W573">
        <v>81</v>
      </c>
      <c r="X573">
        <v>82.953025467418286</v>
      </c>
      <c r="Y573">
        <v>-1.9530254674182856</v>
      </c>
      <c r="Z573">
        <v>-1.9760490547895273</v>
      </c>
      <c r="AA573">
        <v>1.1651323794535547E-2</v>
      </c>
      <c r="AB573">
        <v>-0.53304470554957861</v>
      </c>
      <c r="AC573">
        <v>3.0450867513483659E-4</v>
      </c>
      <c r="AD573">
        <v>-0.39787592189543292</v>
      </c>
      <c r="AE573">
        <v>-0.33829420980651098</v>
      </c>
    </row>
    <row r="574" spans="23:31" x14ac:dyDescent="0.25">
      <c r="W574">
        <v>80</v>
      </c>
      <c r="X574">
        <v>82.929438794434404</v>
      </c>
      <c r="Y574">
        <v>-2.9294387944344038</v>
      </c>
      <c r="Z574">
        <v>-2.9648627802926342</v>
      </c>
      <c r="AA574">
        <v>1.194793435085577E-2</v>
      </c>
      <c r="AB574">
        <v>-0.79965992783339901</v>
      </c>
      <c r="AC574">
        <v>7.0296059158509079E-4</v>
      </c>
      <c r="AD574">
        <v>-0.39787592189543292</v>
      </c>
      <c r="AE574">
        <v>-0.33460381683039847</v>
      </c>
    </row>
    <row r="575" spans="23:31" x14ac:dyDescent="0.25">
      <c r="W575">
        <v>79.900000000000006</v>
      </c>
      <c r="X575">
        <v>83.648732668613064</v>
      </c>
      <c r="Y575">
        <v>-3.7487326686130586</v>
      </c>
      <c r="Z575">
        <v>-3.8145214361616411</v>
      </c>
      <c r="AA575">
        <v>1.7246925636569745E-2</v>
      </c>
      <c r="AB575">
        <v>-1.0260607749722135</v>
      </c>
      <c r="AC575">
        <v>1.679657623157099E-3</v>
      </c>
      <c r="AD575">
        <v>-0.39787592189543292</v>
      </c>
      <c r="AE575">
        <v>-0.33458672008064805</v>
      </c>
    </row>
    <row r="576" spans="23:31" x14ac:dyDescent="0.25">
      <c r="W576">
        <v>79.8</v>
      </c>
      <c r="X576">
        <v>81.976564844055389</v>
      </c>
      <c r="Y576">
        <v>-2.1765648440553917</v>
      </c>
      <c r="Z576">
        <v>-2.2115758471697973</v>
      </c>
      <c r="AA576">
        <v>1.5830794661288481E-2</v>
      </c>
      <c r="AB576">
        <v>-0.59531598526375906</v>
      </c>
      <c r="AC576">
        <v>5.1824527037112585E-4</v>
      </c>
      <c r="AD576">
        <v>-0.39787592189543292</v>
      </c>
      <c r="AE576">
        <v>-0.33132999106199201</v>
      </c>
    </row>
    <row r="577" spans="23:31" x14ac:dyDescent="0.25">
      <c r="W577">
        <v>79.599999999999994</v>
      </c>
      <c r="X577">
        <v>81.127261655447128</v>
      </c>
      <c r="Y577">
        <v>-1.5272616554471341</v>
      </c>
      <c r="Z577">
        <v>-1.5457744995832172</v>
      </c>
      <c r="AA577">
        <v>1.1976419678985335E-2</v>
      </c>
      <c r="AB577">
        <v>-0.41690836915300933</v>
      </c>
      <c r="AC577">
        <v>1.9153504063074077E-4</v>
      </c>
      <c r="AD577">
        <v>-0.39787592189543292</v>
      </c>
      <c r="AE577">
        <v>-0.33022794349946988</v>
      </c>
    </row>
    <row r="578" spans="23:31" x14ac:dyDescent="0.25">
      <c r="W578">
        <v>79.2</v>
      </c>
      <c r="X578">
        <v>80.758469855289164</v>
      </c>
      <c r="Y578">
        <v>-1.5584698552891609</v>
      </c>
      <c r="Z578">
        <v>-1.5754897165032133</v>
      </c>
      <c r="AA578">
        <v>1.0802902129899329E-2</v>
      </c>
      <c r="AB578">
        <v>-0.42517508734925652</v>
      </c>
      <c r="AC578">
        <v>1.7947358669706003E-4</v>
      </c>
      <c r="AD578">
        <v>-0.39787592189543292</v>
      </c>
      <c r="AE578">
        <v>-0.32835884610955507</v>
      </c>
    </row>
    <row r="579" spans="23:31" x14ac:dyDescent="0.25">
      <c r="W579">
        <v>79.099999999999994</v>
      </c>
      <c r="X579">
        <v>80.544131206676994</v>
      </c>
      <c r="Y579">
        <v>-1.4441312066769996</v>
      </c>
      <c r="Z579">
        <v>-1.4597967625854409</v>
      </c>
      <c r="AA579">
        <v>1.0731326654467757E-2</v>
      </c>
      <c r="AB579">
        <v>-0.39396745282561629</v>
      </c>
      <c r="AC579">
        <v>1.5306192181822626E-4</v>
      </c>
      <c r="AD579">
        <v>-0.39787592189543292</v>
      </c>
      <c r="AE579">
        <v>-0.32129866035736787</v>
      </c>
    </row>
    <row r="580" spans="23:31" x14ac:dyDescent="0.25">
      <c r="W580">
        <v>78.5</v>
      </c>
      <c r="X580">
        <v>79.401830196520962</v>
      </c>
      <c r="Y580">
        <v>-0.90183019652096164</v>
      </c>
      <c r="Z580">
        <v>-0.9087184727043649</v>
      </c>
      <c r="AA580">
        <v>7.5802092620719415E-3</v>
      </c>
      <c r="AB580">
        <v>-0.24563366307883186</v>
      </c>
      <c r="AC580">
        <v>4.189564328977297E-5</v>
      </c>
      <c r="AD580">
        <v>-0.39787592189543292</v>
      </c>
      <c r="AE580">
        <v>-0.32110997533211433</v>
      </c>
    </row>
    <row r="581" spans="23:31" x14ac:dyDescent="0.25">
      <c r="W581">
        <v>78.400000000000006</v>
      </c>
      <c r="X581">
        <v>77.64524931071027</v>
      </c>
      <c r="Y581">
        <v>0.75475068928973599</v>
      </c>
      <c r="Z581">
        <v>0.76046001441025624</v>
      </c>
      <c r="AA581">
        <v>7.5077256033571609E-3</v>
      </c>
      <c r="AB581">
        <v>0.20556575654243953</v>
      </c>
      <c r="AC581">
        <v>2.9059632195362237E-5</v>
      </c>
      <c r="AD581">
        <v>-0.39787592189543292</v>
      </c>
      <c r="AE581">
        <v>-0.32057385728215726</v>
      </c>
    </row>
    <row r="582" spans="23:31" x14ac:dyDescent="0.25">
      <c r="W582">
        <v>78.3</v>
      </c>
      <c r="X582">
        <v>79.058902742527025</v>
      </c>
      <c r="Y582">
        <v>-0.75890274252702739</v>
      </c>
      <c r="Z582">
        <v>-0.765413523466691</v>
      </c>
      <c r="AA582">
        <v>8.5062266866832836E-3</v>
      </c>
      <c r="AB582">
        <v>-0.20680067251412676</v>
      </c>
      <c r="AC582">
        <v>3.3354786832756115E-5</v>
      </c>
      <c r="AD582">
        <v>-0.38147581702590427</v>
      </c>
      <c r="AE582">
        <v>-0.3201265551526703</v>
      </c>
    </row>
    <row r="583" spans="23:31" x14ac:dyDescent="0.25">
      <c r="W583">
        <v>78</v>
      </c>
      <c r="X583">
        <v>77.154799532225326</v>
      </c>
      <c r="Y583">
        <v>0.84520046777467428</v>
      </c>
      <c r="Z583">
        <v>0.86225517296891496</v>
      </c>
      <c r="AA583">
        <v>1.9779185708465135E-2</v>
      </c>
      <c r="AB583">
        <v>0.23163735044360981</v>
      </c>
      <c r="AC583">
        <v>9.8425806044428625E-5</v>
      </c>
      <c r="AD583">
        <v>-0.38147581702590427</v>
      </c>
      <c r="AE583">
        <v>-0.31795499201895411</v>
      </c>
    </row>
    <row r="584" spans="23:31" x14ac:dyDescent="0.25">
      <c r="W584">
        <v>62.1</v>
      </c>
      <c r="X584">
        <v>67.192688409737528</v>
      </c>
      <c r="Y584">
        <v>-5.0926884097375265</v>
      </c>
      <c r="Z584">
        <v>-5.1094824218608537</v>
      </c>
      <c r="AA584">
        <v>3.2868323514468932E-3</v>
      </c>
      <c r="AB584">
        <v>-1.3841170782215462</v>
      </c>
      <c r="AC584">
        <v>5.7432844546587429E-4</v>
      </c>
      <c r="AD584">
        <v>-0.38147581702590427</v>
      </c>
      <c r="AE584">
        <v>-0.31772289550804506</v>
      </c>
    </row>
    <row r="585" spans="23:31" x14ac:dyDescent="0.25">
      <c r="W585">
        <v>61.9</v>
      </c>
      <c r="X585">
        <v>64.975635018196243</v>
      </c>
      <c r="Y585">
        <v>-3.0756350181962446</v>
      </c>
      <c r="Z585">
        <v>-3.1078314825087645</v>
      </c>
      <c r="AA585">
        <v>1.0359784465062565E-2</v>
      </c>
      <c r="AB585">
        <v>-0.83889373191722805</v>
      </c>
      <c r="AC585">
        <v>6.6972205091761917E-4</v>
      </c>
      <c r="AD585">
        <v>-0.38147581702590427</v>
      </c>
      <c r="AE585">
        <v>-0.31665504730918143</v>
      </c>
    </row>
    <row r="586" spans="23:31" x14ac:dyDescent="0.25">
      <c r="W586">
        <v>61.6</v>
      </c>
      <c r="X586">
        <v>66.4078904542461</v>
      </c>
      <c r="Y586">
        <v>-4.807890454246099</v>
      </c>
      <c r="Z586">
        <v>-4.8195871239437977</v>
      </c>
      <c r="AA586">
        <v>2.4269028439376878E-3</v>
      </c>
      <c r="AB586">
        <v>-1.3061498945492938</v>
      </c>
      <c r="AC586">
        <v>3.7731234638156713E-4</v>
      </c>
      <c r="AD586">
        <v>-0.38147581702590427</v>
      </c>
      <c r="AE586">
        <v>-0.31630380199611985</v>
      </c>
    </row>
    <row r="587" spans="23:31" x14ac:dyDescent="0.25">
      <c r="W587">
        <v>61.2</v>
      </c>
      <c r="X587">
        <v>65.586281782872533</v>
      </c>
      <c r="Y587">
        <v>-4.3862817828725298</v>
      </c>
      <c r="Z587">
        <v>-4.3939500744305491</v>
      </c>
      <c r="AA587">
        <v>1.7451931469691605E-3</v>
      </c>
      <c r="AB587">
        <v>-1.191205371449148</v>
      </c>
      <c r="AC587">
        <v>2.2551876774543975E-4</v>
      </c>
      <c r="AD587">
        <v>-0.38147581702590427</v>
      </c>
      <c r="AE587">
        <v>-0.31593336638576247</v>
      </c>
    </row>
    <row r="588" spans="23:31" x14ac:dyDescent="0.25">
      <c r="W588">
        <v>69</v>
      </c>
      <c r="X588">
        <v>64.866557868655207</v>
      </c>
      <c r="Y588">
        <v>4.1334421313447933</v>
      </c>
      <c r="Z588">
        <v>4.1406619014899064</v>
      </c>
      <c r="AA588">
        <v>1.7436270617771467E-3</v>
      </c>
      <c r="AB588">
        <v>1.1225395108892136</v>
      </c>
      <c r="AC588">
        <v>2.0008848527442989E-4</v>
      </c>
      <c r="AD588">
        <v>-0.37168505980560429</v>
      </c>
      <c r="AE588">
        <v>-0.31590424376859916</v>
      </c>
    </row>
    <row r="589" spans="23:31" x14ac:dyDescent="0.25">
      <c r="W589">
        <v>66</v>
      </c>
      <c r="X589">
        <v>64.443336621983192</v>
      </c>
      <c r="Y589">
        <v>1.5566633780168075</v>
      </c>
      <c r="Z589">
        <v>1.5594040088309526</v>
      </c>
      <c r="AA589">
        <v>1.7574860643081852E-3</v>
      </c>
      <c r="AB589">
        <v>0.42275377795317043</v>
      </c>
      <c r="AC589">
        <v>2.8604748759349661E-5</v>
      </c>
      <c r="AD589">
        <v>-0.37168505980560429</v>
      </c>
      <c r="AE589">
        <v>-0.31571069745471203</v>
      </c>
    </row>
    <row r="590" spans="23:31" x14ac:dyDescent="0.25">
      <c r="W590">
        <v>63</v>
      </c>
      <c r="X590">
        <v>63.6333479093188</v>
      </c>
      <c r="Y590">
        <v>-0.63334790931880036</v>
      </c>
      <c r="Z590">
        <v>-0.63454614285210909</v>
      </c>
      <c r="AA590">
        <v>1.8883316001668303E-3</v>
      </c>
      <c r="AB590">
        <v>-0.172013920755478</v>
      </c>
      <c r="AC590">
        <v>5.0890138505876782E-6</v>
      </c>
      <c r="AD590">
        <v>-0.37168505980560429</v>
      </c>
      <c r="AE590">
        <v>-0.31468420935810848</v>
      </c>
    </row>
    <row r="591" spans="23:31" x14ac:dyDescent="0.25">
      <c r="W591">
        <v>59.9</v>
      </c>
      <c r="X591">
        <v>67.180307310168175</v>
      </c>
      <c r="Y591">
        <v>-7.2803073101681761</v>
      </c>
      <c r="Z591">
        <v>-7.3108050587357596</v>
      </c>
      <c r="AA591">
        <v>4.1715992045420619E-3</v>
      </c>
      <c r="AB591">
        <v>-1.9795582136813172</v>
      </c>
      <c r="AC591">
        <v>1.492319927173396E-3</v>
      </c>
      <c r="AD591">
        <v>-0.37168505980560429</v>
      </c>
      <c r="AE591">
        <v>-0.31349162388075574</v>
      </c>
    </row>
    <row r="592" spans="23:31" x14ac:dyDescent="0.25">
      <c r="W592">
        <v>59.4</v>
      </c>
      <c r="X592">
        <v>61.602879675749548</v>
      </c>
      <c r="Y592">
        <v>-2.2028796757495499</v>
      </c>
      <c r="Z592">
        <v>-2.2076681259987296</v>
      </c>
      <c r="AA592">
        <v>2.1690081913981465E-3</v>
      </c>
      <c r="AB592">
        <v>-0.59837453329141965</v>
      </c>
      <c r="AC592">
        <v>7.0755095564053547E-5</v>
      </c>
      <c r="AD592">
        <v>-0.37168505980560429</v>
      </c>
      <c r="AE592">
        <v>-0.3125059532455044</v>
      </c>
    </row>
    <row r="593" spans="23:31" x14ac:dyDescent="0.25">
      <c r="W593">
        <v>58.9</v>
      </c>
      <c r="X593">
        <v>60.665716664427173</v>
      </c>
      <c r="Y593">
        <v>-1.765716664427174</v>
      </c>
      <c r="Z593">
        <v>-1.770472499113751</v>
      </c>
      <c r="AA593">
        <v>2.6861951761224185E-3</v>
      </c>
      <c r="AB593">
        <v>-0.47975103521820878</v>
      </c>
      <c r="AC593">
        <v>5.6356613755124916E-5</v>
      </c>
      <c r="AD593">
        <v>-0.37168505980560429</v>
      </c>
      <c r="AE593">
        <v>-0.31189926950221369</v>
      </c>
    </row>
    <row r="594" spans="23:31" x14ac:dyDescent="0.25">
      <c r="W594">
        <v>58.3</v>
      </c>
      <c r="X594">
        <v>63.204492028022905</v>
      </c>
      <c r="Y594">
        <v>-4.9044920280229078</v>
      </c>
      <c r="Z594">
        <v>-4.9668005051632846</v>
      </c>
      <c r="AA594">
        <v>1.2544992913567844E-2</v>
      </c>
      <c r="AB594">
        <v>-1.3392023255574033</v>
      </c>
      <c r="AC594">
        <v>2.0713467557885038E-3</v>
      </c>
      <c r="AD594">
        <v>-0.37168505980560429</v>
      </c>
      <c r="AE594">
        <v>-0.31176489276966496</v>
      </c>
    </row>
    <row r="595" spans="23:31" x14ac:dyDescent="0.25">
      <c r="W595">
        <v>57.9</v>
      </c>
      <c r="X595">
        <v>63.1063477433621</v>
      </c>
      <c r="Y595">
        <v>-5.2063477433621017</v>
      </c>
      <c r="Z595">
        <v>-5.2727730602492571</v>
      </c>
      <c r="AA595">
        <v>1.2597795529629275E-2</v>
      </c>
      <c r="AB595">
        <v>-1.4216639340136656</v>
      </c>
      <c r="AC595">
        <v>2.3442378272315488E-3</v>
      </c>
      <c r="AD595">
        <v>-0.36030729595554811</v>
      </c>
      <c r="AE595">
        <v>-0.31143608819615387</v>
      </c>
    </row>
    <row r="596" spans="23:31" x14ac:dyDescent="0.25">
      <c r="W596">
        <v>57.6</v>
      </c>
      <c r="X596">
        <v>63.695557106122706</v>
      </c>
      <c r="Y596">
        <v>-6.0955571061227047</v>
      </c>
      <c r="Z596">
        <v>-6.1394855686739049</v>
      </c>
      <c r="AA596">
        <v>7.155072205941377E-3</v>
      </c>
      <c r="AB596">
        <v>-1.6599060720289711</v>
      </c>
      <c r="AC596">
        <v>1.8051235887014485E-3</v>
      </c>
      <c r="AD596">
        <v>-0.36030729595554811</v>
      </c>
      <c r="AE596">
        <v>-0.31068202599122718</v>
      </c>
    </row>
    <row r="597" spans="23:31" x14ac:dyDescent="0.25">
      <c r="W597">
        <v>88</v>
      </c>
      <c r="X597">
        <v>81.00965907431312</v>
      </c>
      <c r="Y597">
        <v>6.9903409256868798</v>
      </c>
      <c r="Z597">
        <v>7.0145482105892683</v>
      </c>
      <c r="AA597">
        <v>3.4510112662496095E-3</v>
      </c>
      <c r="AB597">
        <v>1.9000273430114378</v>
      </c>
      <c r="AC597">
        <v>1.1365138717844316E-3</v>
      </c>
      <c r="AD597">
        <v>-0.36030729595554811</v>
      </c>
      <c r="AE597">
        <v>-0.31047588320202124</v>
      </c>
    </row>
    <row r="598" spans="23:31" x14ac:dyDescent="0.25">
      <c r="W598">
        <v>86</v>
      </c>
      <c r="X598">
        <v>80.903911870678101</v>
      </c>
      <c r="Y598">
        <v>5.0960881293218989</v>
      </c>
      <c r="Z598">
        <v>5.1145069945415287</v>
      </c>
      <c r="AA598">
        <v>3.6012982755313557E-3</v>
      </c>
      <c r="AB598">
        <v>1.3852596154877763</v>
      </c>
      <c r="AC598">
        <v>6.3051525957050702E-4</v>
      </c>
      <c r="AD598">
        <v>-0.36030729595554811</v>
      </c>
      <c r="AE598">
        <v>-0.31011843061260735</v>
      </c>
    </row>
    <row r="599" spans="23:31" x14ac:dyDescent="0.25">
      <c r="W599">
        <v>84</v>
      </c>
      <c r="X599">
        <v>80.639027141098396</v>
      </c>
      <c r="Y599">
        <v>3.3609728589016044</v>
      </c>
      <c r="Z599">
        <v>3.3720737300839119</v>
      </c>
      <c r="AA599">
        <v>3.2920013234805775E-3</v>
      </c>
      <c r="AB599">
        <v>0.91346487784757258</v>
      </c>
      <c r="AC599">
        <v>2.5054346521664661E-4</v>
      </c>
      <c r="AD599">
        <v>-0.36030729595554811</v>
      </c>
      <c r="AE599">
        <v>-0.30986166849596003</v>
      </c>
    </row>
    <row r="600" spans="23:31" x14ac:dyDescent="0.25">
      <c r="W600">
        <v>85</v>
      </c>
      <c r="X600">
        <v>80.902933663728234</v>
      </c>
      <c r="Y600">
        <v>4.0970663362717659</v>
      </c>
      <c r="Z600">
        <v>4.1129593763208874</v>
      </c>
      <c r="AA600">
        <v>3.8641373752966333E-3</v>
      </c>
      <c r="AB600">
        <v>1.1138444055987247</v>
      </c>
      <c r="AC600">
        <v>4.3751238625150331E-4</v>
      </c>
      <c r="AD600">
        <v>-0.36030729595554811</v>
      </c>
      <c r="AE600">
        <v>-0.30912521613380589</v>
      </c>
    </row>
    <row r="601" spans="23:31" x14ac:dyDescent="0.25">
      <c r="W601">
        <v>83</v>
      </c>
      <c r="X601">
        <v>80.458991530764052</v>
      </c>
      <c r="Y601">
        <v>2.5410084692359476</v>
      </c>
      <c r="Z601">
        <v>2.5492891581057648</v>
      </c>
      <c r="AA601">
        <v>3.2482344513518357E-3</v>
      </c>
      <c r="AB601">
        <v>0.69059499382741341</v>
      </c>
      <c r="AC601">
        <v>1.412910072136562E-4</v>
      </c>
      <c r="AD601">
        <v>-0.35059197017921911</v>
      </c>
      <c r="AE601">
        <v>-0.30911879106904022</v>
      </c>
    </row>
    <row r="602" spans="23:31" x14ac:dyDescent="0.25">
      <c r="W602">
        <v>80</v>
      </c>
      <c r="X602">
        <v>78.941593251766108</v>
      </c>
      <c r="Y602">
        <v>1.0584067482338924</v>
      </c>
      <c r="Z602">
        <v>1.0625596958593917</v>
      </c>
      <c r="AA602">
        <v>3.908436995759778E-3</v>
      </c>
      <c r="AB602">
        <v>0.28774897773066743</v>
      </c>
      <c r="AC602">
        <v>2.9535120533611718E-5</v>
      </c>
      <c r="AD602">
        <v>-0.35059197017921911</v>
      </c>
      <c r="AE602">
        <v>-0.30796263659974399</v>
      </c>
    </row>
    <row r="603" spans="23:31" x14ac:dyDescent="0.25">
      <c r="W603">
        <v>79.900000000000006</v>
      </c>
      <c r="X603">
        <v>80.086878215520954</v>
      </c>
      <c r="Y603">
        <v>-0.18687821552094874</v>
      </c>
      <c r="Z603">
        <v>-0.18759562222030013</v>
      </c>
      <c r="AA603">
        <v>3.8242187683319821E-3</v>
      </c>
      <c r="AB603">
        <v>-5.0804421314509879E-2</v>
      </c>
      <c r="AC603">
        <v>9.0077657188823268E-7</v>
      </c>
      <c r="AD603">
        <v>-0.35059197017921911</v>
      </c>
      <c r="AE603">
        <v>-0.30449812034315366</v>
      </c>
    </row>
    <row r="604" spans="23:31" x14ac:dyDescent="0.25">
      <c r="W604">
        <v>79.400000000000006</v>
      </c>
      <c r="X604">
        <v>81.732590705433537</v>
      </c>
      <c r="Y604">
        <v>-2.3325907054335318</v>
      </c>
      <c r="Z604">
        <v>-2.3417887964950381</v>
      </c>
      <c r="AA604">
        <v>3.9278055626863163E-3</v>
      </c>
      <c r="AB604">
        <v>-0.63416745761439708</v>
      </c>
      <c r="AC604">
        <v>1.4416982909511299E-4</v>
      </c>
      <c r="AD604">
        <v>-0.35059197017921911</v>
      </c>
      <c r="AE604">
        <v>-0.30430988480907278</v>
      </c>
    </row>
    <row r="605" spans="23:31" x14ac:dyDescent="0.25">
      <c r="W605">
        <v>79.7</v>
      </c>
      <c r="X605">
        <v>78.796370751232672</v>
      </c>
      <c r="Y605">
        <v>0.90362924876733075</v>
      </c>
      <c r="Z605">
        <v>0.90698379502802595</v>
      </c>
      <c r="AA605">
        <v>3.6985735346970129E-3</v>
      </c>
      <c r="AB605">
        <v>0.24564375284342108</v>
      </c>
      <c r="AC605">
        <v>2.0363961528908616E-5</v>
      </c>
      <c r="AD605">
        <v>-0.35059197017921911</v>
      </c>
      <c r="AE605">
        <v>-0.30382758741328142</v>
      </c>
    </row>
    <row r="606" spans="23:31" x14ac:dyDescent="0.25">
      <c r="W606">
        <v>79.3</v>
      </c>
      <c r="X606">
        <v>76.932246238811544</v>
      </c>
      <c r="Y606">
        <v>2.3677537611884532</v>
      </c>
      <c r="Z606">
        <v>2.3876164159799487</v>
      </c>
      <c r="AA606">
        <v>8.3190309207786042E-3</v>
      </c>
      <c r="AB606">
        <v>0.645150986535861</v>
      </c>
      <c r="AC606">
        <v>3.1741745544549107E-4</v>
      </c>
      <c r="AD606">
        <v>-0.35059197017921911</v>
      </c>
      <c r="AE606">
        <v>-0.30133850571437193</v>
      </c>
    </row>
    <row r="607" spans="23:31" x14ac:dyDescent="0.25">
      <c r="W607">
        <v>79.2</v>
      </c>
      <c r="X607">
        <v>77.378419565150566</v>
      </c>
      <c r="Y607">
        <v>1.8215804348494373</v>
      </c>
      <c r="Z607">
        <v>1.8268431709240502</v>
      </c>
      <c r="AA607">
        <v>2.8807815352614886E-3</v>
      </c>
      <c r="AB607">
        <v>0.4949776957153888</v>
      </c>
      <c r="AC607">
        <v>6.4349001403877547E-5</v>
      </c>
      <c r="AD607">
        <v>-0.35059197017921911</v>
      </c>
      <c r="AE607">
        <v>-0.30004144262851834</v>
      </c>
    </row>
    <row r="608" spans="23:31" x14ac:dyDescent="0.25">
      <c r="W608">
        <v>79.099999999999994</v>
      </c>
      <c r="X608">
        <v>78.034962192594179</v>
      </c>
      <c r="Y608">
        <v>1.0650378074058153</v>
      </c>
      <c r="Z608">
        <v>1.0674784400274291</v>
      </c>
      <c r="AA608">
        <v>2.2863530822649285E-3</v>
      </c>
      <c r="AB608">
        <v>0.28931629085106692</v>
      </c>
      <c r="AC608">
        <v>1.7437751282880368E-5</v>
      </c>
      <c r="AD608">
        <v>-0.35059197017921911</v>
      </c>
      <c r="AE608">
        <v>-0.29896909077336759</v>
      </c>
    </row>
    <row r="609" spans="23:31" x14ac:dyDescent="0.25">
      <c r="W609">
        <v>79</v>
      </c>
      <c r="X609">
        <v>76.529327272835886</v>
      </c>
      <c r="Y609">
        <v>2.4706727271641142</v>
      </c>
      <c r="Z609">
        <v>2.4774208215963114</v>
      </c>
      <c r="AA609">
        <v>2.7238385878474488E-3</v>
      </c>
      <c r="AB609">
        <v>0.6713025892883292</v>
      </c>
      <c r="AC609">
        <v>1.1189479620952746E-4</v>
      </c>
      <c r="AD609">
        <v>-0.337689309602062</v>
      </c>
      <c r="AE609">
        <v>-0.2983909562714423</v>
      </c>
    </row>
    <row r="610" spans="23:31" x14ac:dyDescent="0.25">
      <c r="W610">
        <v>78.7</v>
      </c>
      <c r="X610">
        <v>76.475473219965082</v>
      </c>
      <c r="Y610">
        <v>2.2245267800349211</v>
      </c>
      <c r="Z610">
        <v>2.2293221672751287</v>
      </c>
      <c r="AA610">
        <v>2.1510517010978085E-3</v>
      </c>
      <c r="AB610">
        <v>0.60424916153655561</v>
      </c>
      <c r="AC610">
        <v>7.1552608799002024E-5</v>
      </c>
      <c r="AD610">
        <v>-0.337689309602062</v>
      </c>
      <c r="AE610">
        <v>-0.29648663239222817</v>
      </c>
    </row>
    <row r="611" spans="23:31" x14ac:dyDescent="0.25">
      <c r="W611">
        <v>78.2</v>
      </c>
      <c r="X611">
        <v>75.408332375306856</v>
      </c>
      <c r="Y611">
        <v>2.7916676246931473</v>
      </c>
      <c r="Z611">
        <v>2.7984485261647478</v>
      </c>
      <c r="AA611">
        <v>2.4230931561559851E-3</v>
      </c>
      <c r="AB611">
        <v>0.75840526021348786</v>
      </c>
      <c r="AC611">
        <v>1.2700877051342031E-4</v>
      </c>
      <c r="AD611">
        <v>-0.337689309602062</v>
      </c>
      <c r="AE611">
        <v>-0.29076262654100088</v>
      </c>
    </row>
    <row r="612" spans="23:31" x14ac:dyDescent="0.25">
      <c r="W612">
        <v>71.7</v>
      </c>
      <c r="X612">
        <v>68.678282508225379</v>
      </c>
      <c r="Y612">
        <v>3.0217174917746235</v>
      </c>
      <c r="Z612">
        <v>3.0276116890390767</v>
      </c>
      <c r="AA612">
        <v>1.9468141458802131E-3</v>
      </c>
      <c r="AB612">
        <v>0.82070642992052067</v>
      </c>
      <c r="AC612">
        <v>1.1944110009276205E-4</v>
      </c>
      <c r="AD612">
        <v>-0.337689309602062</v>
      </c>
      <c r="AE612">
        <v>-0.28995437100453647</v>
      </c>
    </row>
    <row r="613" spans="23:31" x14ac:dyDescent="0.25">
      <c r="W613">
        <v>71.400000000000006</v>
      </c>
      <c r="X613">
        <v>68.814948370066446</v>
      </c>
      <c r="Y613">
        <v>2.5850516299335595</v>
      </c>
      <c r="Z613">
        <v>2.5897623886375101</v>
      </c>
      <c r="AA613">
        <v>1.8189926321482857E-3</v>
      </c>
      <c r="AB613">
        <v>0.70206187628459049</v>
      </c>
      <c r="AC613">
        <v>8.1654426598150008E-5</v>
      </c>
      <c r="AD613">
        <v>-0.337689309602062</v>
      </c>
      <c r="AE613">
        <v>-0.28918379675648226</v>
      </c>
    </row>
    <row r="614" spans="23:31" x14ac:dyDescent="0.25">
      <c r="W614">
        <v>71.3</v>
      </c>
      <c r="X614">
        <v>68.936150474402055</v>
      </c>
      <c r="Y614">
        <v>2.3638495255979421</v>
      </c>
      <c r="Z614">
        <v>2.3689418931681985</v>
      </c>
      <c r="AA614">
        <v>2.149638024020596E-3</v>
      </c>
      <c r="AB614">
        <v>0.64209300372084366</v>
      </c>
      <c r="AC614">
        <v>8.0742670056613554E-5</v>
      </c>
      <c r="AD614">
        <v>-0.337689309602062</v>
      </c>
      <c r="AE614">
        <v>-0.28800734464346106</v>
      </c>
    </row>
    <row r="615" spans="23:31" x14ac:dyDescent="0.25">
      <c r="W615">
        <v>71.099999999999994</v>
      </c>
      <c r="X615">
        <v>68.467651234689498</v>
      </c>
      <c r="Y615">
        <v>2.6323487653104962</v>
      </c>
      <c r="Z615">
        <v>2.6372158888722623</v>
      </c>
      <c r="AA615">
        <v>1.8455537077179066E-3</v>
      </c>
      <c r="AB615">
        <v>0.7149165921530708</v>
      </c>
      <c r="AC615">
        <v>8.5910651078076255E-5</v>
      </c>
      <c r="AD615">
        <v>-0.337689309602062</v>
      </c>
      <c r="AE615">
        <v>-0.28649322816345391</v>
      </c>
    </row>
    <row r="616" spans="23:31" x14ac:dyDescent="0.25">
      <c r="W616">
        <v>77</v>
      </c>
      <c r="X616">
        <v>68.463269283892998</v>
      </c>
      <c r="Y616">
        <v>8.5367307161070016</v>
      </c>
      <c r="Z616">
        <v>8.5541919558285571</v>
      </c>
      <c r="AA616">
        <v>2.0412494612848239E-3</v>
      </c>
      <c r="AB616">
        <v>2.3187082482320656</v>
      </c>
      <c r="AC616">
        <v>9.9973068262903522E-4</v>
      </c>
      <c r="AD616">
        <v>-0.337689309602062</v>
      </c>
      <c r="AE616">
        <v>-0.28611596260728911</v>
      </c>
    </row>
    <row r="617" spans="23:31" x14ac:dyDescent="0.25">
      <c r="W617">
        <v>76</v>
      </c>
      <c r="X617">
        <v>68.211682772458332</v>
      </c>
      <c r="Y617">
        <v>7.7883172275416683</v>
      </c>
      <c r="Z617">
        <v>7.8040355410977753</v>
      </c>
      <c r="AA617">
        <v>2.0141263418568633E-3</v>
      </c>
      <c r="AB617">
        <v>2.1153988094490281</v>
      </c>
      <c r="AC617">
        <v>8.2102076541136384E-4</v>
      </c>
      <c r="AD617">
        <v>-0.337689309602062</v>
      </c>
      <c r="AE617">
        <v>-0.28584313032280678</v>
      </c>
    </row>
    <row r="618" spans="23:31" x14ac:dyDescent="0.25">
      <c r="W618">
        <v>79</v>
      </c>
      <c r="X618">
        <v>71.418789559946532</v>
      </c>
      <c r="Y618">
        <v>7.5812104400534679</v>
      </c>
      <c r="Z618">
        <v>7.6058355045266381</v>
      </c>
      <c r="AA618">
        <v>3.2376540957950225E-3</v>
      </c>
      <c r="AB618">
        <v>2.0604095788866474</v>
      </c>
      <c r="AC618">
        <v>1.2535834780511141E-3</v>
      </c>
      <c r="AD618">
        <v>-0.337689309602062</v>
      </c>
      <c r="AE618">
        <v>-0.28335895751843959</v>
      </c>
    </row>
    <row r="619" spans="23:31" x14ac:dyDescent="0.25">
      <c r="W619">
        <v>75</v>
      </c>
      <c r="X619">
        <v>67.603304561877778</v>
      </c>
      <c r="Y619">
        <v>7.3966954381222223</v>
      </c>
      <c r="Z619">
        <v>7.4105062874242407</v>
      </c>
      <c r="AA619">
        <v>1.863684985390988E-3</v>
      </c>
      <c r="AB619">
        <v>2.0088783044549747</v>
      </c>
      <c r="AC619">
        <v>6.8501048885778932E-4</v>
      </c>
      <c r="AD619">
        <v>-0.32163939638952632</v>
      </c>
      <c r="AE619">
        <v>-0.2823511681839686</v>
      </c>
    </row>
    <row r="620" spans="23:31" x14ac:dyDescent="0.25">
      <c r="W620">
        <v>69.7</v>
      </c>
      <c r="X620">
        <v>70.392556974441064</v>
      </c>
      <c r="Y620">
        <v>-0.6925569744410609</v>
      </c>
      <c r="Z620">
        <v>-0.69520432207445992</v>
      </c>
      <c r="AA620">
        <v>3.8080137728486278E-3</v>
      </c>
      <c r="AB620">
        <v>-0.18827593167437714</v>
      </c>
      <c r="AC620">
        <v>1.2318345824282916E-5</v>
      </c>
      <c r="AD620">
        <v>-0.32163939638952632</v>
      </c>
      <c r="AE620">
        <v>-0.27801445377342993</v>
      </c>
    </row>
    <row r="621" spans="23:31" x14ac:dyDescent="0.25">
      <c r="W621">
        <v>69.2</v>
      </c>
      <c r="X621">
        <v>69.829691756985369</v>
      </c>
      <c r="Y621">
        <v>-0.62969175698536617</v>
      </c>
      <c r="Z621">
        <v>-0.6319362540834419</v>
      </c>
      <c r="AA621">
        <v>3.5517777047492797E-3</v>
      </c>
      <c r="AB621">
        <v>-0.17116361878046646</v>
      </c>
      <c r="AC621">
        <v>9.4933889515009123E-6</v>
      </c>
      <c r="AD621">
        <v>-0.32163939638952632</v>
      </c>
      <c r="AE621">
        <v>-0.2774302725775516</v>
      </c>
    </row>
    <row r="622" spans="23:31" x14ac:dyDescent="0.25">
      <c r="W622">
        <v>58.1</v>
      </c>
      <c r="X622">
        <v>60.843049153567165</v>
      </c>
      <c r="Y622">
        <v>-2.7430491535671635</v>
      </c>
      <c r="Z622">
        <v>-2.7525919216359043</v>
      </c>
      <c r="AA622">
        <v>3.4668299335375704E-3</v>
      </c>
      <c r="AB622">
        <v>-0.74558734918068303</v>
      </c>
      <c r="AC622">
        <v>1.7581063986434861E-4</v>
      </c>
      <c r="AD622">
        <v>-0.32163939638952632</v>
      </c>
      <c r="AE622">
        <v>-0.27580220102508191</v>
      </c>
    </row>
    <row r="623" spans="23:31" x14ac:dyDescent="0.25">
      <c r="W623">
        <v>58.8</v>
      </c>
      <c r="X623">
        <v>60.948347553405696</v>
      </c>
      <c r="Y623">
        <v>-2.1483475534056993</v>
      </c>
      <c r="Z623">
        <v>-2.1538554002323238</v>
      </c>
      <c r="AA623">
        <v>2.55720362009163E-3</v>
      </c>
      <c r="AB623">
        <v>-0.58367536363541772</v>
      </c>
      <c r="AC623">
        <v>7.9401252349185352E-5</v>
      </c>
      <c r="AD623">
        <v>-0.32163939638952632</v>
      </c>
      <c r="AE623">
        <v>-0.27408430398321881</v>
      </c>
    </row>
    <row r="624" spans="23:31" x14ac:dyDescent="0.25">
      <c r="W624">
        <v>58.4</v>
      </c>
      <c r="X624">
        <v>60.324109711839313</v>
      </c>
      <c r="Y624">
        <v>-1.9241097118393142</v>
      </c>
      <c r="Z624">
        <v>-1.9289051308019367</v>
      </c>
      <c r="AA624">
        <v>2.4860833672165046E-3</v>
      </c>
      <c r="AB624">
        <v>-0.52273450713940428</v>
      </c>
      <c r="AC624">
        <v>6.1910794804672539E-5</v>
      </c>
      <c r="AD624">
        <v>-0.32163939638952632</v>
      </c>
      <c r="AE624">
        <v>-0.27327941429856056</v>
      </c>
    </row>
    <row r="625" spans="23:31" x14ac:dyDescent="0.25">
      <c r="W625">
        <v>58.1</v>
      </c>
      <c r="X625">
        <v>64.716334852368846</v>
      </c>
      <c r="Y625">
        <v>-6.6163348523688441</v>
      </c>
      <c r="Z625">
        <v>-6.6494400654883279</v>
      </c>
      <c r="AA625">
        <v>4.9786467421978065E-3</v>
      </c>
      <c r="AB625">
        <v>-1.7997496439828529</v>
      </c>
      <c r="AC625">
        <v>1.4733652371986296E-3</v>
      </c>
      <c r="AD625">
        <v>-0.31204933220437475</v>
      </c>
      <c r="AE625">
        <v>-0.27166830489854105</v>
      </c>
    </row>
    <row r="626" spans="23:31" x14ac:dyDescent="0.25">
      <c r="W626">
        <v>57.8</v>
      </c>
      <c r="X626">
        <v>59.044626884202486</v>
      </c>
      <c r="Y626">
        <v>-1.2446268842024892</v>
      </c>
      <c r="Z626">
        <v>-1.2489018571227035</v>
      </c>
      <c r="AA626">
        <v>3.422985477868287E-3</v>
      </c>
      <c r="AB626">
        <v>-0.33829420980651098</v>
      </c>
      <c r="AC626">
        <v>3.5734740637375221E-5</v>
      </c>
      <c r="AD626">
        <v>-0.31204933220437475</v>
      </c>
      <c r="AE626">
        <v>-0.26902700070204205</v>
      </c>
    </row>
    <row r="627" spans="23:31" x14ac:dyDescent="0.25">
      <c r="W627">
        <v>57.3</v>
      </c>
      <c r="X627">
        <v>58.441998721438893</v>
      </c>
      <c r="Y627">
        <v>-1.1419987214388954</v>
      </c>
      <c r="Z627">
        <v>-1.1464852840535471</v>
      </c>
      <c r="AA627">
        <v>3.9133189732641844E-3</v>
      </c>
      <c r="AB627">
        <v>-0.31047588320202124</v>
      </c>
      <c r="AC627">
        <v>3.4427950723062411E-5</v>
      </c>
      <c r="AD627">
        <v>-0.31204933220437475</v>
      </c>
      <c r="AE627">
        <v>-0.26869825708532225</v>
      </c>
    </row>
    <row r="628" spans="23:31" x14ac:dyDescent="0.25">
      <c r="W628">
        <v>56.8</v>
      </c>
      <c r="X628">
        <v>62.495298066676888</v>
      </c>
      <c r="Y628">
        <v>-5.6952980666768909</v>
      </c>
      <c r="Z628">
        <v>-5.7679557618337682</v>
      </c>
      <c r="AA628">
        <v>1.2596784399361641E-2</v>
      </c>
      <c r="AB628">
        <v>-1.5551776616328361</v>
      </c>
      <c r="AC628">
        <v>2.8049975923573776E-3</v>
      </c>
      <c r="AD628">
        <v>-0.31204933220437475</v>
      </c>
      <c r="AE628">
        <v>-0.26788456414570694</v>
      </c>
    </row>
    <row r="629" spans="23:31" x14ac:dyDescent="0.25">
      <c r="W629">
        <v>56.4</v>
      </c>
      <c r="X629">
        <v>63.296793119237044</v>
      </c>
      <c r="Y629">
        <v>-6.8967931192370457</v>
      </c>
      <c r="Z629">
        <v>-6.9366156450154506</v>
      </c>
      <c r="AA629">
        <v>5.7409157168775409E-3</v>
      </c>
      <c r="AB629">
        <v>-1.8767578235871705</v>
      </c>
      <c r="AC629">
        <v>1.8488657959084822E-3</v>
      </c>
      <c r="AD629">
        <v>-0.31204933220437475</v>
      </c>
      <c r="AE629">
        <v>-0.26463523707539566</v>
      </c>
    </row>
    <row r="630" spans="23:31" x14ac:dyDescent="0.25">
      <c r="W630">
        <v>58.4</v>
      </c>
      <c r="X630">
        <v>61.450229169969624</v>
      </c>
      <c r="Y630">
        <v>-3.0502291699696258</v>
      </c>
      <c r="Z630">
        <v>-3.0569342459216031</v>
      </c>
      <c r="AA630">
        <v>2.1933988148169271E-3</v>
      </c>
      <c r="AB630">
        <v>-0.82855263659230849</v>
      </c>
      <c r="AC630">
        <v>1.3718883048991225E-4</v>
      </c>
      <c r="AD630">
        <v>-0.31204933220437475</v>
      </c>
      <c r="AE630">
        <v>-0.26189887440008475</v>
      </c>
    </row>
    <row r="631" spans="23:31" x14ac:dyDescent="0.25">
      <c r="W631">
        <v>58.1</v>
      </c>
      <c r="X631">
        <v>60.882853362809811</v>
      </c>
      <c r="Y631">
        <v>-2.78285336280981</v>
      </c>
      <c r="Z631">
        <v>-2.7890076749819741</v>
      </c>
      <c r="AA631">
        <v>2.2066314938345476E-3</v>
      </c>
      <c r="AB631">
        <v>-0.7559287029826246</v>
      </c>
      <c r="AC631">
        <v>1.1488363962060871E-4</v>
      </c>
      <c r="AD631">
        <v>-0.31204933220437475</v>
      </c>
      <c r="AE631">
        <v>-0.2603119668741426</v>
      </c>
    </row>
    <row r="632" spans="23:31" x14ac:dyDescent="0.25">
      <c r="W632">
        <v>57.6</v>
      </c>
      <c r="X632">
        <v>60.389890337349769</v>
      </c>
      <c r="Y632">
        <v>-2.7898903373497674</v>
      </c>
      <c r="Z632">
        <v>-2.7960719503449027</v>
      </c>
      <c r="AA632">
        <v>2.2108204312736007E-3</v>
      </c>
      <c r="AB632">
        <v>-0.75784180341311014</v>
      </c>
      <c r="AC632">
        <v>1.1568554845822609E-4</v>
      </c>
      <c r="AD632">
        <v>-0.31204933220437475</v>
      </c>
      <c r="AE632">
        <v>-0.25889892299126149</v>
      </c>
    </row>
    <row r="633" spans="23:31" x14ac:dyDescent="0.25">
      <c r="W633">
        <v>57.1</v>
      </c>
      <c r="X633">
        <v>59.589328401441733</v>
      </c>
      <c r="Y633">
        <v>-2.4893284014417318</v>
      </c>
      <c r="Z633">
        <v>-2.4948167180635892</v>
      </c>
      <c r="AA633">
        <v>2.1998877040215301E-3</v>
      </c>
      <c r="AB633">
        <v>-0.67619388641459344</v>
      </c>
      <c r="AC633">
        <v>9.1644574358263524E-5</v>
      </c>
      <c r="AD633">
        <v>-0.31204933220437475</v>
      </c>
      <c r="AE633">
        <v>-0.25558995850258259</v>
      </c>
    </row>
    <row r="634" spans="23:31" x14ac:dyDescent="0.25">
      <c r="W634">
        <v>56.7</v>
      </c>
      <c r="X634">
        <v>59.432187233559816</v>
      </c>
      <c r="Y634">
        <v>-2.732187233559813</v>
      </c>
      <c r="Z634">
        <v>-2.7383700044752857</v>
      </c>
      <c r="AA634">
        <v>2.2578288928690347E-3</v>
      </c>
      <c r="AB634">
        <v>-0.74218489853630887</v>
      </c>
      <c r="AC634">
        <v>1.1331939290316208E-4</v>
      </c>
      <c r="AD634">
        <v>-0.31204933220437475</v>
      </c>
      <c r="AE634">
        <v>-0.25500933206142429</v>
      </c>
    </row>
    <row r="635" spans="23:31" x14ac:dyDescent="0.25">
      <c r="W635">
        <v>56.3</v>
      </c>
      <c r="X635">
        <v>57.751237137544564</v>
      </c>
      <c r="Y635">
        <v>-1.4512371375445667</v>
      </c>
      <c r="Z635">
        <v>-1.4647301365776642</v>
      </c>
      <c r="AA635">
        <v>9.2119351518401525E-3</v>
      </c>
      <c r="AB635">
        <v>-0.395602311405723</v>
      </c>
      <c r="AC635">
        <v>1.3228026653860662E-4</v>
      </c>
      <c r="AD635">
        <v>-0.31204933220437475</v>
      </c>
      <c r="AE635">
        <v>-0.25474310308610881</v>
      </c>
    </row>
    <row r="636" spans="23:31" x14ac:dyDescent="0.25">
      <c r="W636">
        <v>66</v>
      </c>
      <c r="X636">
        <v>67.550491179378113</v>
      </c>
      <c r="Y636">
        <v>-1.5504911793781133</v>
      </c>
      <c r="Z636">
        <v>-1.5563888515712989</v>
      </c>
      <c r="AA636">
        <v>3.7893307878850086E-3</v>
      </c>
      <c r="AB636">
        <v>-0.42150674207027844</v>
      </c>
      <c r="AC636">
        <v>6.1436673957490211E-5</v>
      </c>
      <c r="AD636">
        <v>-0.31204933220437475</v>
      </c>
      <c r="AE636">
        <v>-0.25409237657410894</v>
      </c>
    </row>
    <row r="637" spans="23:31" x14ac:dyDescent="0.25">
      <c r="W637">
        <v>65.900000000000006</v>
      </c>
      <c r="X637">
        <v>67.619733236244812</v>
      </c>
      <c r="Y637">
        <v>-1.7197332362448066</v>
      </c>
      <c r="Z637">
        <v>-1.7259805787779499</v>
      </c>
      <c r="AA637">
        <v>3.6195902838999537E-3</v>
      </c>
      <c r="AB637">
        <v>-0.46747599501685977</v>
      </c>
      <c r="AC637">
        <v>7.2170577065061123E-5</v>
      </c>
      <c r="AD637">
        <v>-0.29295400660571042</v>
      </c>
      <c r="AE637">
        <v>-0.25270280013495428</v>
      </c>
    </row>
    <row r="638" spans="23:31" x14ac:dyDescent="0.25">
      <c r="W638">
        <v>65.8</v>
      </c>
      <c r="X638">
        <v>71.531353093546286</v>
      </c>
      <c r="Y638">
        <v>-5.7313530935462893</v>
      </c>
      <c r="Z638">
        <v>-5.7568465285792598</v>
      </c>
      <c r="AA638">
        <v>4.4283680147476764E-3</v>
      </c>
      <c r="AB638">
        <v>-1.5585894364642923</v>
      </c>
      <c r="AC638">
        <v>9.8229506852623547E-4</v>
      </c>
      <c r="AD638">
        <v>-0.29295400660571042</v>
      </c>
      <c r="AE638">
        <v>-0.25084251126458612</v>
      </c>
    </row>
    <row r="639" spans="23:31" x14ac:dyDescent="0.25">
      <c r="W639">
        <v>65.599999999999994</v>
      </c>
      <c r="X639">
        <v>67.312124531467688</v>
      </c>
      <c r="Y639">
        <v>-1.7121245314676941</v>
      </c>
      <c r="Z639">
        <v>-1.7178426823363395</v>
      </c>
      <c r="AA639">
        <v>3.3286813323749531E-3</v>
      </c>
      <c r="AB639">
        <v>-0.4653397900915357</v>
      </c>
      <c r="AC639">
        <v>6.574579084508205E-5</v>
      </c>
      <c r="AD639">
        <v>-0.29295400660571042</v>
      </c>
      <c r="AE639">
        <v>-0.24941639213134065</v>
      </c>
    </row>
    <row r="640" spans="23:31" x14ac:dyDescent="0.25">
      <c r="W640">
        <v>65.900000000000006</v>
      </c>
      <c r="X640">
        <v>67.08138101197153</v>
      </c>
      <c r="Y640">
        <v>-1.1813810119715242</v>
      </c>
      <c r="Z640">
        <v>-1.1854847403343456</v>
      </c>
      <c r="AA640">
        <v>3.4616458763185847E-3</v>
      </c>
      <c r="AB640">
        <v>-0.32110997533211433</v>
      </c>
      <c r="AC640">
        <v>3.2561434447949833E-5</v>
      </c>
      <c r="AD640">
        <v>-0.29295400660571042</v>
      </c>
      <c r="AE640">
        <v>-0.24617558306317933</v>
      </c>
    </row>
    <row r="641" spans="23:31" x14ac:dyDescent="0.25">
      <c r="W641">
        <v>66.099999999999994</v>
      </c>
      <c r="X641">
        <v>67.735133723875492</v>
      </c>
      <c r="Y641">
        <v>-1.6351337238754979</v>
      </c>
      <c r="Z641">
        <v>-1.6404820016182384</v>
      </c>
      <c r="AA641">
        <v>3.2601867850170973E-3</v>
      </c>
      <c r="AB641">
        <v>-0.44439912265116832</v>
      </c>
      <c r="AC641">
        <v>5.8723830636260403E-5</v>
      </c>
      <c r="AD641">
        <v>-0.29295400660571042</v>
      </c>
      <c r="AE641">
        <v>-0.24594679682656359</v>
      </c>
    </row>
    <row r="642" spans="23:31" x14ac:dyDescent="0.25">
      <c r="W642">
        <v>66.3</v>
      </c>
      <c r="X642">
        <v>66.24205362790255</v>
      </c>
      <c r="Y642">
        <v>5.7946372097447352E-2</v>
      </c>
      <c r="Z642">
        <v>5.8230428133697387E-2</v>
      </c>
      <c r="AA642">
        <v>4.878137519434167E-3</v>
      </c>
      <c r="AB642">
        <v>1.5761550473705543E-2</v>
      </c>
      <c r="AC642">
        <v>1.107090083489109E-7</v>
      </c>
      <c r="AD642">
        <v>-0.29295400660571042</v>
      </c>
      <c r="AE642">
        <v>-0.24563366307883186</v>
      </c>
    </row>
    <row r="643" spans="23:31" x14ac:dyDescent="0.25">
      <c r="W643">
        <v>65.7</v>
      </c>
      <c r="X643">
        <v>65.8643616779447</v>
      </c>
      <c r="Y643">
        <v>-0.16436167794469725</v>
      </c>
      <c r="Z643">
        <v>-0.16507058038015998</v>
      </c>
      <c r="AA643">
        <v>4.2945413642232963E-3</v>
      </c>
      <c r="AB643">
        <v>-4.4693662206387284E-2</v>
      </c>
      <c r="AC643">
        <v>7.8322240329726158E-7</v>
      </c>
      <c r="AD643">
        <v>-0.29295400660571042</v>
      </c>
      <c r="AE643">
        <v>-0.24326964416864741</v>
      </c>
    </row>
    <row r="644" spans="23:31" x14ac:dyDescent="0.25">
      <c r="W644">
        <v>65.2</v>
      </c>
      <c r="X644">
        <v>71.580149559832606</v>
      </c>
      <c r="Y644">
        <v>-6.3801495598326028</v>
      </c>
      <c r="Z644">
        <v>-6.4014236567085874</v>
      </c>
      <c r="AA644">
        <v>3.3233383723452617E-3</v>
      </c>
      <c r="AB644">
        <v>-1.7340616552380574</v>
      </c>
      <c r="AC644">
        <v>9.1149996837933524E-4</v>
      </c>
      <c r="AD644">
        <v>-0.29295400660571042</v>
      </c>
      <c r="AE644">
        <v>-0.2415745397396051</v>
      </c>
    </row>
    <row r="645" spans="23:31" x14ac:dyDescent="0.25">
      <c r="W645">
        <v>65</v>
      </c>
      <c r="X645">
        <v>67.047186051942759</v>
      </c>
      <c r="Y645">
        <v>-2.0471860519427594</v>
      </c>
      <c r="Z645">
        <v>-2.0512992182514296</v>
      </c>
      <c r="AA645">
        <v>2.0051517945665529E-3</v>
      </c>
      <c r="AB645">
        <v>-0.55603737479315984</v>
      </c>
      <c r="AC645">
        <v>5.6472139176540963E-5</v>
      </c>
      <c r="AD645">
        <v>-0.28028330588569778</v>
      </c>
      <c r="AE645">
        <v>-0.2380348715341806</v>
      </c>
    </row>
    <row r="646" spans="23:31" x14ac:dyDescent="0.25">
      <c r="W646">
        <v>65.099999999999994</v>
      </c>
      <c r="X646">
        <v>66.647989636703386</v>
      </c>
      <c r="Y646">
        <v>-1.5479896367033916</v>
      </c>
      <c r="Z646">
        <v>-1.5515532094906774</v>
      </c>
      <c r="AA646">
        <v>2.2967776841197442E-3</v>
      </c>
      <c r="AB646">
        <v>-0.42051179459954585</v>
      </c>
      <c r="AC646">
        <v>3.7006776971409416E-5</v>
      </c>
      <c r="AD646">
        <v>-0.28028330588569778</v>
      </c>
      <c r="AE646">
        <v>-0.23800541402444686</v>
      </c>
    </row>
    <row r="647" spans="23:31" x14ac:dyDescent="0.25">
      <c r="W647">
        <v>65.3</v>
      </c>
      <c r="X647">
        <v>64.667473794003314</v>
      </c>
      <c r="Y647">
        <v>0.63252620599668319</v>
      </c>
      <c r="Z647">
        <v>0.63951501030699376</v>
      </c>
      <c r="AA647">
        <v>1.0928288152234534E-2</v>
      </c>
      <c r="AB647">
        <v>0.17257403473596516</v>
      </c>
      <c r="AC647">
        <v>2.9914557117357288E-5</v>
      </c>
      <c r="AD647">
        <v>-0.28028330588569778</v>
      </c>
      <c r="AE647">
        <v>-0.23716648983462607</v>
      </c>
    </row>
    <row r="648" spans="23:31" x14ac:dyDescent="0.25">
      <c r="W648">
        <v>65.3</v>
      </c>
      <c r="X648">
        <v>66.091902222187613</v>
      </c>
      <c r="Y648">
        <v>-0.79190222218761619</v>
      </c>
      <c r="Z648">
        <v>-0.79376104629146482</v>
      </c>
      <c r="AA648">
        <v>2.3417930528835981E-3</v>
      </c>
      <c r="AB648">
        <v>-0.2151253014659758</v>
      </c>
      <c r="AC648">
        <v>9.8754531385409853E-6</v>
      </c>
      <c r="AD648">
        <v>-0.28028330588569778</v>
      </c>
      <c r="AE648">
        <v>-0.23542212314452393</v>
      </c>
    </row>
    <row r="649" spans="23:31" x14ac:dyDescent="0.25">
      <c r="W649">
        <v>65.400000000000006</v>
      </c>
      <c r="X649">
        <v>66.118238428544231</v>
      </c>
      <c r="Y649">
        <v>-0.71823842854422537</v>
      </c>
      <c r="Z649">
        <v>-0.71960874170713396</v>
      </c>
      <c r="AA649">
        <v>1.9042475215971352E-3</v>
      </c>
      <c r="AB649">
        <v>-0.19507128920364236</v>
      </c>
      <c r="AC649">
        <v>6.6000194415049951E-6</v>
      </c>
      <c r="AD649">
        <v>-0.27396491687072577</v>
      </c>
      <c r="AE649">
        <v>-0.23407585137103251</v>
      </c>
    </row>
    <row r="650" spans="23:31" x14ac:dyDescent="0.25">
      <c r="W650">
        <v>63.1</v>
      </c>
      <c r="X650">
        <v>64.15090143042417</v>
      </c>
      <c r="Y650">
        <v>-1.0509014304241688</v>
      </c>
      <c r="Z650">
        <v>-1.0560193967273293</v>
      </c>
      <c r="AA650">
        <v>4.8464699786995441E-3</v>
      </c>
      <c r="AB650">
        <v>-0.28584313032280678</v>
      </c>
      <c r="AC650">
        <v>3.6174144772876314E-5</v>
      </c>
      <c r="AD650">
        <v>-0.27396491687072577</v>
      </c>
      <c r="AE650">
        <v>-0.23233914781172088</v>
      </c>
    </row>
    <row r="651" spans="23:31" x14ac:dyDescent="0.25">
      <c r="W651">
        <v>62.7</v>
      </c>
      <c r="X651">
        <v>63.861655079633366</v>
      </c>
      <c r="Y651">
        <v>-1.1616550796333627</v>
      </c>
      <c r="Z651">
        <v>-1.1670572322329775</v>
      </c>
      <c r="AA651">
        <v>4.6288669059344053E-3</v>
      </c>
      <c r="AB651">
        <v>-0.31593336638576247</v>
      </c>
      <c r="AC651">
        <v>4.2197620022472752E-5</v>
      </c>
      <c r="AD651">
        <v>-0.27396491687072577</v>
      </c>
      <c r="AE651">
        <v>-0.22982762003360066</v>
      </c>
    </row>
    <row r="652" spans="23:31" x14ac:dyDescent="0.25">
      <c r="W652">
        <v>74.5</v>
      </c>
      <c r="X652">
        <v>68.886088239203247</v>
      </c>
      <c r="Y652">
        <v>5.6139117607967535</v>
      </c>
      <c r="Z652">
        <v>5.6409401713486744</v>
      </c>
      <c r="AA652">
        <v>4.7914726501098754E-3</v>
      </c>
      <c r="AB652">
        <v>1.526930808625615</v>
      </c>
      <c r="AC652">
        <v>1.0204716771887151E-3</v>
      </c>
      <c r="AD652">
        <v>-0.27396491687072577</v>
      </c>
      <c r="AE652">
        <v>-0.22945018500986522</v>
      </c>
    </row>
    <row r="653" spans="23:31" x14ac:dyDescent="0.25">
      <c r="W653">
        <v>74.3</v>
      </c>
      <c r="X653">
        <v>73.070400688986581</v>
      </c>
      <c r="Y653">
        <v>1.2295993110134162</v>
      </c>
      <c r="Z653">
        <v>1.2343612991604118</v>
      </c>
      <c r="AA653">
        <v>3.8578560023209848E-3</v>
      </c>
      <c r="AB653">
        <v>0.33428260203680066</v>
      </c>
      <c r="AC653">
        <v>3.9342283341963136E-5</v>
      </c>
      <c r="AD653">
        <v>-0.27396491687072577</v>
      </c>
      <c r="AE653">
        <v>-0.22929152819548826</v>
      </c>
    </row>
    <row r="654" spans="23:31" x14ac:dyDescent="0.25">
      <c r="W654">
        <v>74.099999999999994</v>
      </c>
      <c r="X654">
        <v>70.640501410472694</v>
      </c>
      <c r="Y654">
        <v>3.4594985895272998</v>
      </c>
      <c r="Z654">
        <v>3.4707020866527927</v>
      </c>
      <c r="AA654">
        <v>3.2280203963845973E-3</v>
      </c>
      <c r="AB654">
        <v>0.94021260096487325</v>
      </c>
      <c r="AC654">
        <v>2.6025548957598314E-4</v>
      </c>
      <c r="AD654">
        <v>-0.27396491687072577</v>
      </c>
      <c r="AE654">
        <v>-0.229130282938143</v>
      </c>
    </row>
    <row r="655" spans="23:31" x14ac:dyDescent="0.25">
      <c r="W655">
        <v>73.900000000000006</v>
      </c>
      <c r="X655">
        <v>70.396721088156454</v>
      </c>
      <c r="Y655">
        <v>3.5032789118435517</v>
      </c>
      <c r="Z655">
        <v>3.5111523510014848</v>
      </c>
      <c r="AA655">
        <v>2.2424088649084565E-3</v>
      </c>
      <c r="AB655">
        <v>0.95164071481049128</v>
      </c>
      <c r="AC655">
        <v>1.8503040733017437E-4</v>
      </c>
      <c r="AD655">
        <v>-0.27396491687072577</v>
      </c>
      <c r="AE655">
        <v>-0.2264973512414083</v>
      </c>
    </row>
    <row r="656" spans="23:31" x14ac:dyDescent="0.25">
      <c r="W656">
        <v>73.599999999999994</v>
      </c>
      <c r="X656">
        <v>70.190237502548669</v>
      </c>
      <c r="Y656">
        <v>3.4097624974513252</v>
      </c>
      <c r="Z656">
        <v>3.4170759519998484</v>
      </c>
      <c r="AA656">
        <v>2.140266898149619E-3</v>
      </c>
      <c r="AB656">
        <v>0.92619024169176045</v>
      </c>
      <c r="AC656">
        <v>1.6726541548157679E-4</v>
      </c>
      <c r="AD656">
        <v>-0.26293383539244392</v>
      </c>
      <c r="AE656">
        <v>-0.22188980613533768</v>
      </c>
    </row>
    <row r="657" spans="23:31" x14ac:dyDescent="0.25">
      <c r="W657">
        <v>73.400000000000006</v>
      </c>
      <c r="X657">
        <v>69.90048446899597</v>
      </c>
      <c r="Y657">
        <v>3.499515531004036</v>
      </c>
      <c r="Z657">
        <v>3.5081079720969086</v>
      </c>
      <c r="AA657">
        <v>2.449309189230549E-3</v>
      </c>
      <c r="AB657">
        <v>0.95071699724216485</v>
      </c>
      <c r="AC657">
        <v>2.0175228859879349E-4</v>
      </c>
      <c r="AD657">
        <v>-0.26293383539244392</v>
      </c>
      <c r="AE657">
        <v>-0.22080247309224671</v>
      </c>
    </row>
    <row r="658" spans="23:31" x14ac:dyDescent="0.25">
      <c r="W658">
        <v>73.2</v>
      </c>
      <c r="X658">
        <v>69.394848180301267</v>
      </c>
      <c r="Y658">
        <v>3.8051518196987359</v>
      </c>
      <c r="Z658">
        <v>3.8129849850865298</v>
      </c>
      <c r="AA658">
        <v>2.0543394265719423E-3</v>
      </c>
      <c r="AB658">
        <v>1.0335449329299407</v>
      </c>
      <c r="AC658">
        <v>1.9990853947637603E-4</v>
      </c>
      <c r="AD658">
        <v>-0.26293383539244392</v>
      </c>
      <c r="AE658">
        <v>-0.22076606620632613</v>
      </c>
    </row>
    <row r="659" spans="23:31" x14ac:dyDescent="0.25">
      <c r="W659">
        <v>73</v>
      </c>
      <c r="X659">
        <v>71.631074313027796</v>
      </c>
      <c r="Y659">
        <v>1.3689256869722044</v>
      </c>
      <c r="Z659">
        <v>1.3734335563705571</v>
      </c>
      <c r="AA659">
        <v>3.2821896461220816E-3</v>
      </c>
      <c r="AB659">
        <v>0.37205280528288054</v>
      </c>
      <c r="AC659">
        <v>4.1438872871653651E-5</v>
      </c>
      <c r="AD659">
        <v>-0.26293383539244392</v>
      </c>
      <c r="AE659">
        <v>-0.22055747135330653</v>
      </c>
    </row>
    <row r="660" spans="23:31" x14ac:dyDescent="0.25">
      <c r="W660">
        <v>72.8</v>
      </c>
      <c r="X660">
        <v>68.747142057663666</v>
      </c>
      <c r="Y660">
        <v>4.0528579423363311</v>
      </c>
      <c r="Z660">
        <v>4.0600638276457488</v>
      </c>
      <c r="AA660">
        <v>1.7748206962536405E-3</v>
      </c>
      <c r="AB660">
        <v>1.1006720575600959</v>
      </c>
      <c r="AC660">
        <v>1.9581644487463504E-4</v>
      </c>
      <c r="AD660">
        <v>-0.26293383539244392</v>
      </c>
      <c r="AE660">
        <v>-0.2189406559939735</v>
      </c>
    </row>
    <row r="661" spans="23:31" x14ac:dyDescent="0.25">
      <c r="W661">
        <v>72.5</v>
      </c>
      <c r="X661">
        <v>68.475546172873692</v>
      </c>
      <c r="Y661">
        <v>4.0244538271263082</v>
      </c>
      <c r="Z661">
        <v>4.0328351539505576</v>
      </c>
      <c r="AA661">
        <v>2.0782716139648716E-3</v>
      </c>
      <c r="AB661">
        <v>1.0931242519878854</v>
      </c>
      <c r="AC661">
        <v>2.2623104472758261E-4</v>
      </c>
      <c r="AD661">
        <v>-0.26293383539244392</v>
      </c>
      <c r="AE661">
        <v>-0.21631316374447995</v>
      </c>
    </row>
    <row r="662" spans="23:31" x14ac:dyDescent="0.25">
      <c r="W662">
        <v>72.2</v>
      </c>
      <c r="X662">
        <v>67.959528904393082</v>
      </c>
      <c r="Y662">
        <v>4.2404710956069209</v>
      </c>
      <c r="Z662">
        <v>4.2490996984208778</v>
      </c>
      <c r="AA662">
        <v>2.0306896581321282E-3</v>
      </c>
      <c r="AB662">
        <v>1.1517715168481362</v>
      </c>
      <c r="AC662">
        <v>2.4539536436533096E-4</v>
      </c>
      <c r="AD662">
        <v>-0.26293383539244392</v>
      </c>
      <c r="AE662">
        <v>-0.2151253014659758</v>
      </c>
    </row>
    <row r="663" spans="23:31" x14ac:dyDescent="0.25">
      <c r="W663">
        <v>71.900000000000006</v>
      </c>
      <c r="X663">
        <v>67.664264280047902</v>
      </c>
      <c r="Y663">
        <v>4.2357357199521033</v>
      </c>
      <c r="Z663">
        <v>4.245160203600463</v>
      </c>
      <c r="AA663">
        <v>2.2200537073644474E-3</v>
      </c>
      <c r="AB663">
        <v>1.1505944897703189</v>
      </c>
      <c r="AC663">
        <v>2.6778152124986584E-4</v>
      </c>
      <c r="AD663">
        <v>-0.25193465741015014</v>
      </c>
      <c r="AE663">
        <v>-0.20955248493410333</v>
      </c>
    </row>
    <row r="664" spans="23:31" x14ac:dyDescent="0.25">
      <c r="W664">
        <v>71.599999999999994</v>
      </c>
      <c r="X664">
        <v>65.909465023767567</v>
      </c>
      <c r="Y664">
        <v>5.6905349762324278</v>
      </c>
      <c r="Z664">
        <v>5.7118155124384344</v>
      </c>
      <c r="AA664">
        <v>3.7257044033828838E-3</v>
      </c>
      <c r="AB664">
        <v>1.5469435084180014</v>
      </c>
      <c r="AC664">
        <v>8.135527045601273E-4</v>
      </c>
      <c r="AD664">
        <v>-0.25193465741015014</v>
      </c>
      <c r="AE664">
        <v>-0.20781400579606185</v>
      </c>
    </row>
    <row r="665" spans="23:31" x14ac:dyDescent="0.25">
      <c r="W665">
        <v>71.3</v>
      </c>
      <c r="X665">
        <v>66.893599705598405</v>
      </c>
      <c r="Y665">
        <v>4.4064002944015925</v>
      </c>
      <c r="Z665">
        <v>4.4150611213648432</v>
      </c>
      <c r="AA665">
        <v>1.9616550541825591E-3</v>
      </c>
      <c r="AB665">
        <v>1.1967988244927554</v>
      </c>
      <c r="AC665">
        <v>2.5593226309560227E-4</v>
      </c>
      <c r="AD665">
        <v>-0.25193465741015014</v>
      </c>
      <c r="AE665">
        <v>-0.20722024962919658</v>
      </c>
    </row>
    <row r="666" spans="23:31" x14ac:dyDescent="0.25">
      <c r="W666">
        <v>71</v>
      </c>
      <c r="X666">
        <v>66.567133682875095</v>
      </c>
      <c r="Y666">
        <v>4.4328663171249048</v>
      </c>
      <c r="Z666">
        <v>4.4410124240371545</v>
      </c>
      <c r="AA666">
        <v>1.8342905028036968E-3</v>
      </c>
      <c r="AB666">
        <v>1.2039103034316465</v>
      </c>
      <c r="AC666">
        <v>2.4213693940480069E-4</v>
      </c>
      <c r="AD666">
        <v>-0.25193465741015014</v>
      </c>
      <c r="AE666">
        <v>-0.20696315076470653</v>
      </c>
    </row>
    <row r="667" spans="23:31" x14ac:dyDescent="0.25">
      <c r="W667">
        <v>68</v>
      </c>
      <c r="X667">
        <v>65.882785121334948</v>
      </c>
      <c r="Y667">
        <v>2.1172148786650524</v>
      </c>
      <c r="Z667">
        <v>2.1906256907444686</v>
      </c>
      <c r="AA667">
        <v>3.3511344448108361E-2</v>
      </c>
      <c r="AB667">
        <v>0.58435582423720878</v>
      </c>
      <c r="AC667">
        <v>1.0763590328949938E-3</v>
      </c>
      <c r="AD667">
        <v>-0.25193465741015014</v>
      </c>
      <c r="AE667">
        <v>-0.20680067251412676</v>
      </c>
    </row>
    <row r="668" spans="23:31" x14ac:dyDescent="0.25">
      <c r="W668">
        <v>67.599999999999994</v>
      </c>
      <c r="X668">
        <v>65.371168333673694</v>
      </c>
      <c r="Y668">
        <v>2.2288316663263004</v>
      </c>
      <c r="Z668">
        <v>2.3198724648239448</v>
      </c>
      <c r="AA668">
        <v>3.9243880807281646E-2</v>
      </c>
      <c r="AB668">
        <v>0.61699480849313892</v>
      </c>
      <c r="AC668">
        <v>1.4136084196813611E-3</v>
      </c>
      <c r="AD668">
        <v>-0.25193465741015014</v>
      </c>
      <c r="AE668">
        <v>-0.20565936901491486</v>
      </c>
    </row>
    <row r="669" spans="23:31" x14ac:dyDescent="0.25">
      <c r="W669">
        <v>67.3</v>
      </c>
      <c r="X669">
        <v>67.893934737516631</v>
      </c>
      <c r="Y669">
        <v>-0.5939347375166335</v>
      </c>
      <c r="Z669">
        <v>-0.62268456655215232</v>
      </c>
      <c r="AA669">
        <v>4.6170775027733119E-2</v>
      </c>
      <c r="AB669">
        <v>-0.16501150837428682</v>
      </c>
      <c r="AC669">
        <v>1.1982082984474902E-4</v>
      </c>
      <c r="AD669">
        <v>-0.24253103988010652</v>
      </c>
      <c r="AE669">
        <v>-0.20552416527447331</v>
      </c>
    </row>
    <row r="670" spans="23:31" x14ac:dyDescent="0.25">
      <c r="W670">
        <v>66.8</v>
      </c>
      <c r="X670">
        <v>63.966983042509426</v>
      </c>
      <c r="Y670">
        <v>2.833016957490571</v>
      </c>
      <c r="Z670">
        <v>2.9882010659114755</v>
      </c>
      <c r="AA670">
        <v>5.1932284674949175E-2</v>
      </c>
      <c r="AB670">
        <v>0.7894785144270694</v>
      </c>
      <c r="AC670">
        <v>3.1037448835467846E-3</v>
      </c>
      <c r="AD670">
        <v>-0.24253103988010652</v>
      </c>
      <c r="AE670">
        <v>-0.20323758679124512</v>
      </c>
    </row>
    <row r="671" spans="23:31" x14ac:dyDescent="0.25">
      <c r="W671">
        <v>66.400000000000006</v>
      </c>
      <c r="X671">
        <v>63.168398778362274</v>
      </c>
      <c r="Y671">
        <v>3.2316012216377317</v>
      </c>
      <c r="Z671">
        <v>3.4337106032223517</v>
      </c>
      <c r="AA671">
        <v>5.8860342334893317E-2</v>
      </c>
      <c r="AB671">
        <v>0.90386078952461002</v>
      </c>
      <c r="AC671">
        <v>4.6449294032707552E-3</v>
      </c>
      <c r="AD671">
        <v>-0.24253103988010652</v>
      </c>
      <c r="AE671">
        <v>-0.20264231153505616</v>
      </c>
    </row>
    <row r="672" spans="23:31" x14ac:dyDescent="0.25">
      <c r="W672">
        <v>66</v>
      </c>
      <c r="X672">
        <v>66.39991930120965</v>
      </c>
      <c r="Y672">
        <v>-0.3999193012096498</v>
      </c>
      <c r="Z672">
        <v>-0.428910467068917</v>
      </c>
      <c r="AA672">
        <v>6.759258186770481E-2</v>
      </c>
      <c r="AB672">
        <v>-0.11237774802827102</v>
      </c>
      <c r="AC672">
        <v>8.3226432744218829E-5</v>
      </c>
      <c r="AD672">
        <v>-0.23783731322627524</v>
      </c>
      <c r="AE672">
        <v>-0.20211224312194589</v>
      </c>
    </row>
    <row r="673" spans="23:31" x14ac:dyDescent="0.25">
      <c r="W673">
        <v>65.5</v>
      </c>
      <c r="X673">
        <v>64.037400300340849</v>
      </c>
      <c r="Y673">
        <v>1.462599699659151</v>
      </c>
      <c r="Z673">
        <v>1.586823419184185</v>
      </c>
      <c r="AA673">
        <v>7.8284526194415657E-2</v>
      </c>
      <c r="AB673">
        <v>0.41336895854298716</v>
      </c>
      <c r="AC673">
        <v>1.3193562693850753E-3</v>
      </c>
      <c r="AD673">
        <v>-0.23783731322627524</v>
      </c>
      <c r="AE673">
        <v>-0.19958915268562366</v>
      </c>
    </row>
    <row r="674" spans="23:31" x14ac:dyDescent="0.25">
      <c r="W674">
        <v>65.2</v>
      </c>
      <c r="X674">
        <v>64.629788232240941</v>
      </c>
      <c r="Y674">
        <v>0.57021176775906213</v>
      </c>
      <c r="Z674">
        <v>0.62220702216745849</v>
      </c>
      <c r="AA674">
        <v>8.356584312930454E-2</v>
      </c>
      <c r="AB674">
        <v>0.16162046875879002</v>
      </c>
      <c r="AC674">
        <v>2.1653473391899562E-4</v>
      </c>
      <c r="AD674">
        <v>-0.23783731322627524</v>
      </c>
      <c r="AE674">
        <v>-0.19901309425507802</v>
      </c>
    </row>
    <row r="675" spans="23:31" x14ac:dyDescent="0.25">
      <c r="W675">
        <v>64.8</v>
      </c>
      <c r="X675">
        <v>64.150958774713374</v>
      </c>
      <c r="Y675">
        <v>0.64904122528662356</v>
      </c>
      <c r="Z675">
        <v>0.71540982892172167</v>
      </c>
      <c r="AA675">
        <v>9.2770047254073063E-2</v>
      </c>
      <c r="AB675">
        <v>0.18489467889873901</v>
      </c>
      <c r="AC675">
        <v>3.1779461792323595E-4</v>
      </c>
      <c r="AD675">
        <v>-0.23783731322627524</v>
      </c>
      <c r="AE675">
        <v>-0.19862359596832829</v>
      </c>
    </row>
    <row r="676" spans="23:31" x14ac:dyDescent="0.25">
      <c r="W676">
        <v>64.400000000000006</v>
      </c>
      <c r="X676">
        <v>60.436005653748417</v>
      </c>
      <c r="Y676">
        <v>3.9639943462515888</v>
      </c>
      <c r="Z676">
        <v>4.36616488735541</v>
      </c>
      <c r="AA676">
        <v>9.2110708477483996E-2</v>
      </c>
      <c r="AB676">
        <v>1.1288270285554256</v>
      </c>
      <c r="AC676">
        <v>1.1752745804914935E-2</v>
      </c>
      <c r="AD676">
        <v>-0.23783731322627524</v>
      </c>
      <c r="AE676">
        <v>-0.19829124883351287</v>
      </c>
    </row>
    <row r="677" spans="23:31" x14ac:dyDescent="0.25">
      <c r="W677">
        <v>64</v>
      </c>
      <c r="X677">
        <v>59.873015232472</v>
      </c>
      <c r="Y677">
        <v>4.1269847675280005</v>
      </c>
      <c r="Z677">
        <v>4.5939647814179878</v>
      </c>
      <c r="AA677">
        <v>0.10165076053235453</v>
      </c>
      <c r="AB677">
        <v>1.1814656071994387</v>
      </c>
      <c r="AC677">
        <v>1.4358693001649573E-2</v>
      </c>
      <c r="AD677">
        <v>-0.23002600999886993</v>
      </c>
      <c r="AE677">
        <v>-0.19742956447859528</v>
      </c>
    </row>
    <row r="678" spans="23:31" x14ac:dyDescent="0.25">
      <c r="W678">
        <v>68.900000000000006</v>
      </c>
      <c r="X678">
        <v>70.308194277512882</v>
      </c>
      <c r="Y678">
        <v>-1.4081942775128766</v>
      </c>
      <c r="Z678">
        <v>-1.4140448315235687</v>
      </c>
      <c r="AA678">
        <v>4.1374600580262894E-3</v>
      </c>
      <c r="AB678">
        <v>-0.38288971171992497</v>
      </c>
      <c r="AC678">
        <v>5.5371861843891781E-5</v>
      </c>
      <c r="AD678">
        <v>-0.23002600999886993</v>
      </c>
      <c r="AE678">
        <v>-0.1952979782986114</v>
      </c>
    </row>
    <row r="679" spans="23:31" x14ac:dyDescent="0.25">
      <c r="W679">
        <v>68.7</v>
      </c>
      <c r="X679">
        <v>70.249648710592155</v>
      </c>
      <c r="Y679">
        <v>-1.5496487105921517</v>
      </c>
      <c r="Z679">
        <v>-1.5560328975448385</v>
      </c>
      <c r="AA679">
        <v>4.1028611687840312E-3</v>
      </c>
      <c r="AB679">
        <v>-0.42134402236430096</v>
      </c>
      <c r="AC679">
        <v>6.6489539603578461E-5</v>
      </c>
      <c r="AD679">
        <v>-0.23002600999886993</v>
      </c>
      <c r="AE679">
        <v>-0.1952866665952176</v>
      </c>
    </row>
    <row r="680" spans="23:31" x14ac:dyDescent="0.25">
      <c r="W680">
        <v>68.5</v>
      </c>
      <c r="X680">
        <v>69.868931938801396</v>
      </c>
      <c r="Y680">
        <v>-1.3689319388013956</v>
      </c>
      <c r="Z680">
        <v>-1.3743016333143601</v>
      </c>
      <c r="AA680">
        <v>3.9072168603980053E-3</v>
      </c>
      <c r="AB680">
        <v>-0.37217121430541245</v>
      </c>
      <c r="AC680">
        <v>4.9392453142413205E-5</v>
      </c>
      <c r="AD680">
        <v>-0.23002600999886993</v>
      </c>
      <c r="AE680">
        <v>-0.19507128920364236</v>
      </c>
    </row>
    <row r="681" spans="23:31" x14ac:dyDescent="0.25">
      <c r="W681">
        <v>68.3</v>
      </c>
      <c r="X681">
        <v>69.359385879920623</v>
      </c>
      <c r="Y681">
        <v>-1.0593858799206259</v>
      </c>
      <c r="Z681">
        <v>-1.0634848463947293</v>
      </c>
      <c r="AA681">
        <v>3.8542782137362002E-3</v>
      </c>
      <c r="AB681">
        <v>-0.28800734464346106</v>
      </c>
      <c r="AC681">
        <v>2.9176596351343852E-5</v>
      </c>
      <c r="AD681">
        <v>-0.22378708008709278</v>
      </c>
      <c r="AE681">
        <v>-0.19498259958132091</v>
      </c>
    </row>
    <row r="682" spans="23:31" x14ac:dyDescent="0.25">
      <c r="W682">
        <v>68.099999999999994</v>
      </c>
      <c r="X682">
        <v>69.022730825800039</v>
      </c>
      <c r="Y682">
        <v>-0.92273082580004484</v>
      </c>
      <c r="Z682">
        <v>-0.92620177835028983</v>
      </c>
      <c r="AA682">
        <v>3.7475122930807291E-3</v>
      </c>
      <c r="AB682">
        <v>-0.25084251126458612</v>
      </c>
      <c r="AC682">
        <v>2.1517075418904602E-5</v>
      </c>
      <c r="AD682">
        <v>-0.22378708008709278</v>
      </c>
      <c r="AE682">
        <v>-0.19392177171187727</v>
      </c>
    </row>
    <row r="683" spans="23:31" x14ac:dyDescent="0.25">
      <c r="W683">
        <v>67.900000000000006</v>
      </c>
      <c r="X683">
        <v>68.370765294537136</v>
      </c>
      <c r="Y683">
        <v>-0.47076529453713079</v>
      </c>
      <c r="Z683">
        <v>-0.47241273563035691</v>
      </c>
      <c r="AA683">
        <v>3.4872918720802934E-3</v>
      </c>
      <c r="AB683">
        <v>-0.12795988404654926</v>
      </c>
      <c r="AC683">
        <v>5.2090730360956349E-6</v>
      </c>
      <c r="AD683">
        <v>-0.22378708008709278</v>
      </c>
      <c r="AE683">
        <v>-0.19362700090527504</v>
      </c>
    </row>
    <row r="684" spans="23:31" x14ac:dyDescent="0.25">
      <c r="W684">
        <v>67.7</v>
      </c>
      <c r="X684">
        <v>68.254118421873727</v>
      </c>
      <c r="Y684">
        <v>-0.55411842187372429</v>
      </c>
      <c r="Z684">
        <v>-0.55610371349899879</v>
      </c>
      <c r="AA684">
        <v>3.5700024601139418E-3</v>
      </c>
      <c r="AB684">
        <v>-0.15062255559781906</v>
      </c>
      <c r="AC684">
        <v>7.389398033037166E-6</v>
      </c>
      <c r="AD684">
        <v>-0.22378708008709278</v>
      </c>
      <c r="AE684">
        <v>-0.18827593167437714</v>
      </c>
    </row>
    <row r="685" spans="23:31" x14ac:dyDescent="0.25">
      <c r="W685">
        <v>67.5</v>
      </c>
      <c r="X685">
        <v>69.911843523371417</v>
      </c>
      <c r="Y685">
        <v>-2.4118435233714166</v>
      </c>
      <c r="Z685">
        <v>-2.4278142237395883</v>
      </c>
      <c r="AA685">
        <v>6.5782217650814968E-3</v>
      </c>
      <c r="AB685">
        <v>-0.65658825492130746</v>
      </c>
      <c r="AC685">
        <v>2.5951852739187874E-4</v>
      </c>
      <c r="AD685">
        <v>-0.22378708008709278</v>
      </c>
      <c r="AE685">
        <v>-0.18759630771108018</v>
      </c>
    </row>
    <row r="686" spans="23:31" x14ac:dyDescent="0.25">
      <c r="W686">
        <v>67.3</v>
      </c>
      <c r="X686">
        <v>67.273840059949933</v>
      </c>
      <c r="Y686">
        <v>2.6159940050064279E-2</v>
      </c>
      <c r="Z686">
        <v>2.6249234128556509E-2</v>
      </c>
      <c r="AA686">
        <v>3.4017784312483082E-3</v>
      </c>
      <c r="AB686">
        <v>7.1102932137669687E-3</v>
      </c>
      <c r="AC686">
        <v>1.5688024222533411E-8</v>
      </c>
      <c r="AD686">
        <v>-0.22378708008709278</v>
      </c>
      <c r="AE686">
        <v>-0.18707365685688115</v>
      </c>
    </row>
    <row r="687" spans="23:31" x14ac:dyDescent="0.25">
      <c r="W687">
        <v>67.2</v>
      </c>
      <c r="X687">
        <v>70.463616219212525</v>
      </c>
      <c r="Y687">
        <v>-3.2636162192125227</v>
      </c>
      <c r="Z687">
        <v>-3.279544571609776</v>
      </c>
      <c r="AA687">
        <v>4.8568793774434738E-3</v>
      </c>
      <c r="AB687">
        <v>-0.88770186082204028</v>
      </c>
      <c r="AC687">
        <v>3.4963374979445338E-4</v>
      </c>
      <c r="AD687">
        <v>-0.21444491222324932</v>
      </c>
      <c r="AE687">
        <v>-0.18697147405350176</v>
      </c>
    </row>
    <row r="688" spans="23:31" x14ac:dyDescent="0.25">
      <c r="W688">
        <v>65.3</v>
      </c>
      <c r="X688">
        <v>66.676592975501705</v>
      </c>
      <c r="Y688">
        <v>-1.3765929755017083</v>
      </c>
      <c r="Z688">
        <v>-1.3823480439459104</v>
      </c>
      <c r="AA688">
        <v>4.1632557512579597E-3</v>
      </c>
      <c r="AB688">
        <v>-0.37430212761038956</v>
      </c>
      <c r="AC688">
        <v>5.3247209177496342E-5</v>
      </c>
      <c r="AD688">
        <v>-0.21444491222324932</v>
      </c>
      <c r="AE688">
        <v>-0.1841865378971817</v>
      </c>
    </row>
    <row r="689" spans="23:31" x14ac:dyDescent="0.25">
      <c r="W689">
        <v>66.900000000000006</v>
      </c>
      <c r="X689">
        <v>66.817771553629996</v>
      </c>
      <c r="Y689">
        <v>8.2228446370010033E-2</v>
      </c>
      <c r="Z689">
        <v>8.2533112729350933E-2</v>
      </c>
      <c r="AA689">
        <v>3.6914439461233853E-3</v>
      </c>
      <c r="AB689">
        <v>2.235300806443866E-2</v>
      </c>
      <c r="AC689">
        <v>1.6829905701749881E-7</v>
      </c>
      <c r="AD689">
        <v>-0.21444491222324932</v>
      </c>
      <c r="AE689">
        <v>-0.18400966074280234</v>
      </c>
    </row>
    <row r="690" spans="23:31" x14ac:dyDescent="0.25">
      <c r="W690">
        <v>66.7</v>
      </c>
      <c r="X690">
        <v>65.152014117497544</v>
      </c>
      <c r="Y690">
        <v>1.5479858825024593</v>
      </c>
      <c r="Z690">
        <v>1.5662087414341954</v>
      </c>
      <c r="AA690">
        <v>1.1635012913446577E-2</v>
      </c>
      <c r="AB690">
        <v>0.4224926320857928</v>
      </c>
      <c r="AC690">
        <v>1.910271567290914E-4</v>
      </c>
      <c r="AD690">
        <v>-0.21444491222324932</v>
      </c>
      <c r="AE690">
        <v>-0.18328301578393266</v>
      </c>
    </row>
    <row r="691" spans="23:31" x14ac:dyDescent="0.25">
      <c r="W691">
        <v>66.5</v>
      </c>
      <c r="X691">
        <v>66.571066593906522</v>
      </c>
      <c r="Y691">
        <v>-7.1066593906522257E-2</v>
      </c>
      <c r="Z691">
        <v>-7.1342207259064594E-2</v>
      </c>
      <c r="AA691">
        <v>3.863257994562194E-3</v>
      </c>
      <c r="AB691">
        <v>-1.9320432380441319E-2</v>
      </c>
      <c r="AC691">
        <v>1.3160601852496231E-7</v>
      </c>
      <c r="AD691">
        <v>-0.21444491222324932</v>
      </c>
      <c r="AE691">
        <v>-0.17570677185540801</v>
      </c>
    </row>
    <row r="692" spans="23:31" x14ac:dyDescent="0.25">
      <c r="W692">
        <v>66.3</v>
      </c>
      <c r="X692">
        <v>66.498032649500658</v>
      </c>
      <c r="Y692">
        <v>-0.1980326495006608</v>
      </c>
      <c r="Z692">
        <v>-0.19885199994479308</v>
      </c>
      <c r="AA692">
        <v>4.1204033369257702E-3</v>
      </c>
      <c r="AB692">
        <v>-5.3844853619190211E-2</v>
      </c>
      <c r="AC692">
        <v>1.0905073864913514E-6</v>
      </c>
      <c r="AD692">
        <v>-0.21444491222324932</v>
      </c>
      <c r="AE692">
        <v>-0.17394906246425948</v>
      </c>
    </row>
    <row r="693" spans="23:31" x14ac:dyDescent="0.25">
      <c r="W693">
        <v>67.900000000000006</v>
      </c>
      <c r="X693">
        <v>68.434198888510636</v>
      </c>
      <c r="Y693">
        <v>-0.53419888851063035</v>
      </c>
      <c r="Z693">
        <v>-0.53660674497383809</v>
      </c>
      <c r="AA693">
        <v>4.4871900805719426E-3</v>
      </c>
      <c r="AB693">
        <v>-0.14527482926912816</v>
      </c>
      <c r="AC693">
        <v>8.6479999108651551E-6</v>
      </c>
      <c r="AD693">
        <v>-0.21444491222324932</v>
      </c>
      <c r="AE693">
        <v>-0.172013920755478</v>
      </c>
    </row>
    <row r="694" spans="23:31" x14ac:dyDescent="0.25">
      <c r="W694">
        <v>69.5</v>
      </c>
      <c r="X694">
        <v>72.197339293869547</v>
      </c>
      <c r="Y694">
        <v>-2.6973392938695469</v>
      </c>
      <c r="Z694">
        <v>-2.7105452944655184</v>
      </c>
      <c r="AA694">
        <v>4.8720826111754156E-3</v>
      </c>
      <c r="AB694">
        <v>-0.73368044531323817</v>
      </c>
      <c r="AC694">
        <v>2.3958351725467805E-4</v>
      </c>
      <c r="AD694">
        <v>-0.21444491222324932</v>
      </c>
      <c r="AE694">
        <v>-0.17142577813751378</v>
      </c>
    </row>
    <row r="695" spans="23:31" x14ac:dyDescent="0.25">
      <c r="W695">
        <v>76</v>
      </c>
      <c r="X695">
        <v>69.938726289799007</v>
      </c>
      <c r="Y695">
        <v>6.061273710200993</v>
      </c>
      <c r="Z695">
        <v>6.0831790471584384</v>
      </c>
      <c r="AA695">
        <v>3.6009686362391911E-3</v>
      </c>
      <c r="AB695">
        <v>1.6476238415007678</v>
      </c>
      <c r="AC695">
        <v>8.9188629871009794E-4</v>
      </c>
      <c r="AD695">
        <v>-0.21444491222324932</v>
      </c>
      <c r="AE695">
        <v>-0.17116361878046646</v>
      </c>
    </row>
    <row r="696" spans="23:31" x14ac:dyDescent="0.25">
      <c r="W696">
        <v>77</v>
      </c>
      <c r="X696">
        <v>69.799101010976045</v>
      </c>
      <c r="Y696">
        <v>7.2008989890239548</v>
      </c>
      <c r="Z696">
        <v>7.2291231444771</v>
      </c>
      <c r="AA696">
        <v>3.9042294465141902E-3</v>
      </c>
      <c r="AB696">
        <v>1.957703831793965</v>
      </c>
      <c r="AC696">
        <v>1.3656378122369362E-3</v>
      </c>
      <c r="AD696">
        <v>-0.21444491222324932</v>
      </c>
      <c r="AE696">
        <v>-0.16801125943983145</v>
      </c>
    </row>
    <row r="697" spans="23:31" x14ac:dyDescent="0.25">
      <c r="W697">
        <v>76</v>
      </c>
      <c r="X697">
        <v>69.52793278468458</v>
      </c>
      <c r="Y697">
        <v>6.4720672153154197</v>
      </c>
      <c r="Z697">
        <v>6.4951649727069167</v>
      </c>
      <c r="AA697">
        <v>3.5561463778909976E-3</v>
      </c>
      <c r="AB697">
        <v>1.7592494449508256</v>
      </c>
      <c r="AC697">
        <v>1.004127720529811E-3</v>
      </c>
      <c r="AD697">
        <v>-0.198915705174462</v>
      </c>
      <c r="AE697">
        <v>-0.16662065714409097</v>
      </c>
    </row>
    <row r="698" spans="23:31" x14ac:dyDescent="0.25">
      <c r="W698">
        <v>74</v>
      </c>
      <c r="X698">
        <v>69.54608472570844</v>
      </c>
      <c r="Y698">
        <v>4.4539152742915604</v>
      </c>
      <c r="Z698">
        <v>4.468334806614024</v>
      </c>
      <c r="AA698">
        <v>3.2270483181175503E-3</v>
      </c>
      <c r="AB698">
        <v>1.2104717242131817</v>
      </c>
      <c r="AC698">
        <v>4.3124675142901562E-4</v>
      </c>
      <c r="AD698">
        <v>-0.198915705174462</v>
      </c>
      <c r="AE698">
        <v>-0.16501150837428682</v>
      </c>
    </row>
    <row r="699" spans="23:31" x14ac:dyDescent="0.25">
      <c r="W699">
        <v>69.3</v>
      </c>
      <c r="X699">
        <v>68.885113042920437</v>
      </c>
      <c r="Y699">
        <v>0.41488695707955969</v>
      </c>
      <c r="Z699">
        <v>0.41636055548988793</v>
      </c>
      <c r="AA699">
        <v>3.5392363443018902E-3</v>
      </c>
      <c r="AB699">
        <v>0.11277439363698739</v>
      </c>
      <c r="AC699">
        <v>4.1065553283349739E-6</v>
      </c>
      <c r="AD699">
        <v>-0.198915705174462</v>
      </c>
      <c r="AE699">
        <v>-0.16330875323592875</v>
      </c>
    </row>
    <row r="700" spans="23:31" x14ac:dyDescent="0.25">
      <c r="W700">
        <v>65.900000000000006</v>
      </c>
      <c r="X700">
        <v>67.364378536871783</v>
      </c>
      <c r="Y700">
        <v>-1.4643785368717772</v>
      </c>
      <c r="Z700">
        <v>-1.471139274962951</v>
      </c>
      <c r="AA700">
        <v>4.5955799061502146E-3</v>
      </c>
      <c r="AB700">
        <v>-0.39825789364206876</v>
      </c>
      <c r="AC700">
        <v>6.6569739383031518E-5</v>
      </c>
      <c r="AD700">
        <v>-0.198915705174462</v>
      </c>
      <c r="AE700">
        <v>-0.16172805281212885</v>
      </c>
    </row>
    <row r="701" spans="23:31" x14ac:dyDescent="0.25">
      <c r="W701">
        <v>64.7</v>
      </c>
      <c r="X701">
        <v>66.862572131087845</v>
      </c>
      <c r="Y701">
        <v>-2.1625721310878419</v>
      </c>
      <c r="Z701">
        <v>-2.1734369986740774</v>
      </c>
      <c r="AA701">
        <v>4.9989337592303892E-3</v>
      </c>
      <c r="AB701">
        <v>-0.58826044742815475</v>
      </c>
      <c r="AC701">
        <v>1.5805216476087733E-4</v>
      </c>
      <c r="AD701">
        <v>-0.198915705174462</v>
      </c>
      <c r="AE701">
        <v>-0.16127696945244391</v>
      </c>
    </row>
    <row r="702" spans="23:31" x14ac:dyDescent="0.25">
      <c r="W702">
        <v>66.8</v>
      </c>
      <c r="X702">
        <v>70.888129468515672</v>
      </c>
      <c r="Y702">
        <v>-4.0881294685156746</v>
      </c>
      <c r="Z702">
        <v>-4.1063677747182226</v>
      </c>
      <c r="AA702">
        <v>4.4414692504754633E-3</v>
      </c>
      <c r="AB702">
        <v>-1.1117370061259413</v>
      </c>
      <c r="AC702">
        <v>5.0126952334745407E-4</v>
      </c>
      <c r="AD702">
        <v>-0.198915705174462</v>
      </c>
      <c r="AE702">
        <v>-0.15913926884213267</v>
      </c>
    </row>
    <row r="703" spans="23:31" x14ac:dyDescent="0.25">
      <c r="W703">
        <v>67.2</v>
      </c>
      <c r="X703">
        <v>70.749391706769927</v>
      </c>
      <c r="Y703">
        <v>-3.5493917067699243</v>
      </c>
      <c r="Z703">
        <v>-3.5638764507633311</v>
      </c>
      <c r="AA703">
        <v>4.0643227097016147E-3</v>
      </c>
      <c r="AB703">
        <v>-0.96504842236333621</v>
      </c>
      <c r="AC703">
        <v>3.4551142965964245E-4</v>
      </c>
      <c r="AD703">
        <v>-0.198915705174462</v>
      </c>
      <c r="AE703">
        <v>-0.15780157227440414</v>
      </c>
    </row>
    <row r="704" spans="23:31" x14ac:dyDescent="0.25">
      <c r="W704">
        <v>81.2</v>
      </c>
      <c r="X704">
        <v>81.698334880163387</v>
      </c>
      <c r="Y704">
        <v>-0.49833488016338379</v>
      </c>
      <c r="Z704">
        <v>-0.5007745004837858</v>
      </c>
      <c r="AA704">
        <v>4.8716943815018243E-3</v>
      </c>
      <c r="AB704">
        <v>-0.13554782904209356</v>
      </c>
      <c r="AC704">
        <v>8.176988809480699E-6</v>
      </c>
      <c r="AD704">
        <v>-0.1880739545732803</v>
      </c>
      <c r="AE704">
        <v>-0.15740094298593613</v>
      </c>
    </row>
    <row r="705" spans="23:31" x14ac:dyDescent="0.25">
      <c r="W705">
        <v>81</v>
      </c>
      <c r="X705">
        <v>81.592894593596256</v>
      </c>
      <c r="Y705">
        <v>-0.59289459359625596</v>
      </c>
      <c r="Z705">
        <v>-0.59586184613762327</v>
      </c>
      <c r="AA705">
        <v>4.9797659652083513E-3</v>
      </c>
      <c r="AB705">
        <v>-0.16127696945244391</v>
      </c>
      <c r="AC705">
        <v>1.1833931286009279E-5</v>
      </c>
      <c r="AD705">
        <v>-0.1880739545732803</v>
      </c>
      <c r="AE705">
        <v>-0.15700634899918603</v>
      </c>
    </row>
    <row r="706" spans="23:31" x14ac:dyDescent="0.25">
      <c r="W706">
        <v>85</v>
      </c>
      <c r="X706">
        <v>81.92145054293411</v>
      </c>
      <c r="Y706">
        <v>3.0785494570658898</v>
      </c>
      <c r="Z706">
        <v>3.1278692124399612</v>
      </c>
      <c r="AA706">
        <v>1.5767844505109797E-2</v>
      </c>
      <c r="AB706">
        <v>0.84199241684382797</v>
      </c>
      <c r="AC706">
        <v>1.032519955627048E-3</v>
      </c>
      <c r="AD706">
        <v>-0.1880739545732803</v>
      </c>
      <c r="AE706">
        <v>-0.15342518901597535</v>
      </c>
    </row>
    <row r="707" spans="23:31" x14ac:dyDescent="0.25">
      <c r="W707">
        <v>84</v>
      </c>
      <c r="X707">
        <v>85.064250414181799</v>
      </c>
      <c r="Y707">
        <v>-1.0642504141817994</v>
      </c>
      <c r="Z707">
        <v>-1.0729854976972462</v>
      </c>
      <c r="AA707">
        <v>8.1409147972605466E-3</v>
      </c>
      <c r="AB707">
        <v>-0.28995437100453647</v>
      </c>
      <c r="AC707">
        <v>6.2732106147170855E-5</v>
      </c>
      <c r="AD707">
        <v>-0.1880739545732803</v>
      </c>
      <c r="AE707">
        <v>-0.15304544279872712</v>
      </c>
    </row>
    <row r="708" spans="23:31" x14ac:dyDescent="0.25">
      <c r="W708">
        <v>86</v>
      </c>
      <c r="X708">
        <v>82.780476879649967</v>
      </c>
      <c r="Y708">
        <v>3.2195231203500327</v>
      </c>
      <c r="Z708">
        <v>3.2362230527629805</v>
      </c>
      <c r="AA708">
        <v>5.1603156335870235E-3</v>
      </c>
      <c r="AB708">
        <v>0.87584210142768304</v>
      </c>
      <c r="AC708">
        <v>3.617279903636548E-4</v>
      </c>
      <c r="AD708">
        <v>-0.1880739545732803</v>
      </c>
      <c r="AE708">
        <v>-0.15150408975726198</v>
      </c>
    </row>
    <row r="709" spans="23:31" x14ac:dyDescent="0.25">
      <c r="W709">
        <v>82.2</v>
      </c>
      <c r="X709">
        <v>82.714645764395684</v>
      </c>
      <c r="Y709">
        <v>-0.51464576439568077</v>
      </c>
      <c r="Z709">
        <v>-0.51825593563248162</v>
      </c>
      <c r="AA709">
        <v>6.9660007509587058E-3</v>
      </c>
      <c r="AB709">
        <v>-0.14013194948033986</v>
      </c>
      <c r="AC709">
        <v>1.2522788376109961E-5</v>
      </c>
      <c r="AD709">
        <v>-0.1880739545732803</v>
      </c>
      <c r="AE709">
        <v>-0.1510729660466309</v>
      </c>
    </row>
    <row r="710" spans="23:31" x14ac:dyDescent="0.25">
      <c r="W710">
        <v>82.1</v>
      </c>
      <c r="X710">
        <v>81.558301872866281</v>
      </c>
      <c r="Y710">
        <v>0.54169812713371357</v>
      </c>
      <c r="Z710">
        <v>0.54531966065319182</v>
      </c>
      <c r="AA710">
        <v>6.6411203937496331E-3</v>
      </c>
      <c r="AB710">
        <v>0.14747386586491948</v>
      </c>
      <c r="AC710">
        <v>1.3218209165805764E-5</v>
      </c>
      <c r="AD710">
        <v>-0.17879863688351211</v>
      </c>
      <c r="AE710">
        <v>-0.15062255559781906</v>
      </c>
    </row>
    <row r="711" spans="23:31" x14ac:dyDescent="0.25">
      <c r="W711">
        <v>81.8</v>
      </c>
      <c r="X711">
        <v>82.250198437282393</v>
      </c>
      <c r="Y711">
        <v>-0.4501984372823955</v>
      </c>
      <c r="Z711">
        <v>-0.45290320824416597</v>
      </c>
      <c r="AA711">
        <v>5.9720728679822895E-3</v>
      </c>
      <c r="AB711">
        <v>-0.12252240419689298</v>
      </c>
      <c r="AC711">
        <v>8.1990747765104373E-6</v>
      </c>
      <c r="AD711">
        <v>-0.17879863688351211</v>
      </c>
      <c r="AE711">
        <v>-0.15010797796181391</v>
      </c>
    </row>
    <row r="712" spans="23:31" x14ac:dyDescent="0.25">
      <c r="W712">
        <v>81.8</v>
      </c>
      <c r="X712">
        <v>81.052733940392784</v>
      </c>
      <c r="Y712">
        <v>0.74726605960721315</v>
      </c>
      <c r="Z712">
        <v>0.75155790591492178</v>
      </c>
      <c r="AA712">
        <v>5.710599641001313E-3</v>
      </c>
      <c r="AB712">
        <v>0.20334320878791098</v>
      </c>
      <c r="AC712">
        <v>2.1589151000757108E-5</v>
      </c>
      <c r="AD712">
        <v>-0.17879863688351211</v>
      </c>
      <c r="AE712">
        <v>-0.14891456913240653</v>
      </c>
    </row>
    <row r="713" spans="23:31" x14ac:dyDescent="0.25">
      <c r="W713">
        <v>81.7</v>
      </c>
      <c r="X713">
        <v>79.370450044584388</v>
      </c>
      <c r="Y713">
        <v>2.3295499554156152</v>
      </c>
      <c r="Z713">
        <v>2.3392655330158334</v>
      </c>
      <c r="AA713">
        <v>4.1532598429298937E-3</v>
      </c>
      <c r="AB713">
        <v>0.63341244944895236</v>
      </c>
      <c r="AC713">
        <v>1.5211677230515653E-4</v>
      </c>
      <c r="AD713">
        <v>-0.17879863688351211</v>
      </c>
      <c r="AE713">
        <v>-0.14825789919595195</v>
      </c>
    </row>
    <row r="714" spans="23:31" x14ac:dyDescent="0.25">
      <c r="W714">
        <v>81.5</v>
      </c>
      <c r="X714">
        <v>79.287484819970345</v>
      </c>
      <c r="Y714">
        <v>2.212515180029655</v>
      </c>
      <c r="Z714">
        <v>2.2216255815439609</v>
      </c>
      <c r="AA714">
        <v>4.1007816933657411E-3</v>
      </c>
      <c r="AB714">
        <v>0.6015744509432438</v>
      </c>
      <c r="AC714">
        <v>1.3546819372050226E-4</v>
      </c>
      <c r="AD714">
        <v>-0.17879863688351211</v>
      </c>
      <c r="AE714">
        <v>-0.14611891208673272</v>
      </c>
    </row>
    <row r="715" spans="23:31" x14ac:dyDescent="0.25">
      <c r="W715">
        <v>81</v>
      </c>
      <c r="X715">
        <v>79.365049260944758</v>
      </c>
      <c r="Y715">
        <v>1.6349507390552418</v>
      </c>
      <c r="Z715">
        <v>1.6419132968879779</v>
      </c>
      <c r="AA715">
        <v>4.2405149199639808E-3</v>
      </c>
      <c r="AB715">
        <v>0.4445680685898129</v>
      </c>
      <c r="AC715">
        <v>7.6515248036537078E-5</v>
      </c>
      <c r="AD715">
        <v>-0.17879863688351211</v>
      </c>
      <c r="AE715">
        <v>-0.14527482926912816</v>
      </c>
    </row>
    <row r="716" spans="23:31" x14ac:dyDescent="0.25">
      <c r="W716">
        <v>84</v>
      </c>
      <c r="X716">
        <v>78.971162742275695</v>
      </c>
      <c r="Y716">
        <v>5.0288372577243052</v>
      </c>
      <c r="Z716">
        <v>5.0512989072446004</v>
      </c>
      <c r="AA716">
        <v>4.4467076553470486E-3</v>
      </c>
      <c r="AB716">
        <v>1.3675592294547341</v>
      </c>
      <c r="AC716">
        <v>7.5940538025928207E-4</v>
      </c>
      <c r="AD716">
        <v>-0.17879863688351211</v>
      </c>
      <c r="AE716">
        <v>-0.14313244524828625</v>
      </c>
    </row>
    <row r="717" spans="23:31" x14ac:dyDescent="0.25">
      <c r="W717">
        <v>84</v>
      </c>
      <c r="X717">
        <v>78.95458426391555</v>
      </c>
      <c r="Y717">
        <v>5.0454157360844505</v>
      </c>
      <c r="Z717">
        <v>5.068036450776205</v>
      </c>
      <c r="AA717">
        <v>4.4634080499335229E-3</v>
      </c>
      <c r="AB717">
        <v>1.3720791460011905</v>
      </c>
      <c r="AC717">
        <v>7.6731732984978247E-4</v>
      </c>
      <c r="AD717">
        <v>-0.16799678341230881</v>
      </c>
      <c r="AE717">
        <v>-0.14296378843362997</v>
      </c>
    </row>
    <row r="718" spans="23:31" x14ac:dyDescent="0.25">
      <c r="W718">
        <v>80</v>
      </c>
      <c r="X718">
        <v>76.934109479467011</v>
      </c>
      <c r="Y718">
        <v>3.0658905205329887</v>
      </c>
      <c r="Z718">
        <v>3.0954849737035772</v>
      </c>
      <c r="AA718">
        <v>9.5605223162102682E-3</v>
      </c>
      <c r="AB718">
        <v>0.83589839516281983</v>
      </c>
      <c r="AC718">
        <v>6.1315175379306425E-4</v>
      </c>
      <c r="AD718">
        <v>-0.16799678341230881</v>
      </c>
      <c r="AE718">
        <v>-0.14169286220580496</v>
      </c>
    </row>
    <row r="719" spans="23:31" x14ac:dyDescent="0.25">
      <c r="W719">
        <v>81</v>
      </c>
      <c r="X719">
        <v>77.816644010271958</v>
      </c>
      <c r="Y719">
        <v>3.1833559897280423</v>
      </c>
      <c r="Z719">
        <v>3.2142732213699077</v>
      </c>
      <c r="AA719">
        <v>9.6187316735603309E-3</v>
      </c>
      <c r="AB719">
        <v>0.86795022284562495</v>
      </c>
      <c r="AC719">
        <v>6.6513889541948781E-4</v>
      </c>
      <c r="AD719">
        <v>-0.16799678341230881</v>
      </c>
      <c r="AE719">
        <v>-0.14067167533359018</v>
      </c>
    </row>
    <row r="720" spans="23:31" x14ac:dyDescent="0.25">
      <c r="W720">
        <v>79.7</v>
      </c>
      <c r="X720">
        <v>79.773940115949102</v>
      </c>
      <c r="Y720">
        <v>-7.394011594909955E-2</v>
      </c>
      <c r="Z720">
        <v>-7.4256658906236339E-2</v>
      </c>
      <c r="AA720">
        <v>4.2628225103941578E-3</v>
      </c>
      <c r="AB720">
        <v>-2.0105671664684879E-2</v>
      </c>
      <c r="AC720">
        <v>1.5732473715877171E-7</v>
      </c>
      <c r="AD720">
        <v>-0.16799678341230881</v>
      </c>
      <c r="AE720">
        <v>-0.14013194948033986</v>
      </c>
    </row>
    <row r="721" spans="23:31" x14ac:dyDescent="0.25">
      <c r="W721">
        <v>79.3</v>
      </c>
      <c r="X721">
        <v>77.136552248833524</v>
      </c>
      <c r="Y721">
        <v>2.1634477511664727</v>
      </c>
      <c r="Z721">
        <v>2.1951216115913184</v>
      </c>
      <c r="AA721">
        <v>1.4429205314907215E-2</v>
      </c>
      <c r="AB721">
        <v>0.59130740583508601</v>
      </c>
      <c r="AC721">
        <v>4.6535945163922064E-4</v>
      </c>
      <c r="AD721">
        <v>-0.16799678341230881</v>
      </c>
      <c r="AE721">
        <v>-0.13983750428322356</v>
      </c>
    </row>
    <row r="722" spans="23:31" x14ac:dyDescent="0.25">
      <c r="W722">
        <v>79.3</v>
      </c>
      <c r="X722">
        <v>77.910317154196974</v>
      </c>
      <c r="Y722">
        <v>1.3896828458030228</v>
      </c>
      <c r="Z722">
        <v>1.3948802738307648</v>
      </c>
      <c r="AA722">
        <v>3.7260746497433379E-3</v>
      </c>
      <c r="AB722">
        <v>0.37777841020442882</v>
      </c>
      <c r="AC722">
        <v>4.8523751681151848E-5</v>
      </c>
      <c r="AD722">
        <v>-0.16799678341230881</v>
      </c>
      <c r="AE722">
        <v>-0.13596838416258444</v>
      </c>
    </row>
    <row r="723" spans="23:31" x14ac:dyDescent="0.25">
      <c r="W723">
        <v>78.900000000000006</v>
      </c>
      <c r="X723">
        <v>77.967119479041742</v>
      </c>
      <c r="Y723">
        <v>0.93288052095826401</v>
      </c>
      <c r="Z723">
        <v>0.93614359170574346</v>
      </c>
      <c r="AA723">
        <v>3.4856519623539259E-3</v>
      </c>
      <c r="AB723">
        <v>0.25356836295037966</v>
      </c>
      <c r="AC723">
        <v>2.0445508368199955E-5</v>
      </c>
      <c r="AD723">
        <v>-0.16799678341230881</v>
      </c>
      <c r="AE723">
        <v>-0.13554782904209356</v>
      </c>
    </row>
    <row r="724" spans="23:31" x14ac:dyDescent="0.25">
      <c r="W724">
        <v>82.5</v>
      </c>
      <c r="X724">
        <v>81.677970037156499</v>
      </c>
      <c r="Y724">
        <v>0.82202996284350149</v>
      </c>
      <c r="Z724">
        <v>0.82628674158954141</v>
      </c>
      <c r="AA724">
        <v>5.1516967800371311E-3</v>
      </c>
      <c r="AB724">
        <v>0.22362483649141687</v>
      </c>
      <c r="AC724">
        <v>2.3541862381541517E-5</v>
      </c>
      <c r="AD724">
        <v>-0.16799678341230881</v>
      </c>
      <c r="AE724">
        <v>-0.13215038661746109</v>
      </c>
    </row>
    <row r="725" spans="23:31" x14ac:dyDescent="0.25">
      <c r="W725">
        <v>82.3</v>
      </c>
      <c r="X725">
        <v>79.867226919200377</v>
      </c>
      <c r="Y725">
        <v>2.4327730807996204</v>
      </c>
      <c r="Z725">
        <v>2.4415787484782072</v>
      </c>
      <c r="AA725">
        <v>3.606546659238959E-3</v>
      </c>
      <c r="AB725">
        <v>0.66129766451067173</v>
      </c>
      <c r="AC725">
        <v>1.4390039381071646E-4</v>
      </c>
      <c r="AD725">
        <v>-0.15567569037416348</v>
      </c>
      <c r="AE725">
        <v>-0.13073624488885305</v>
      </c>
    </row>
    <row r="726" spans="23:31" x14ac:dyDescent="0.25">
      <c r="W726">
        <v>82</v>
      </c>
      <c r="X726">
        <v>82.874788343955771</v>
      </c>
      <c r="Y726">
        <v>-0.8747883439557711</v>
      </c>
      <c r="Z726">
        <v>-0.87952673409907334</v>
      </c>
      <c r="AA726">
        <v>5.387431626114849E-3</v>
      </c>
      <c r="AB726">
        <v>-0.23800541402444686</v>
      </c>
      <c r="AC726">
        <v>2.7893872787553414E-5</v>
      </c>
      <c r="AD726">
        <v>-0.15567569037416348</v>
      </c>
      <c r="AE726">
        <v>-0.12795988404654926</v>
      </c>
    </row>
    <row r="727" spans="23:31" x14ac:dyDescent="0.25">
      <c r="W727">
        <v>82</v>
      </c>
      <c r="X727">
        <v>82.935775145907925</v>
      </c>
      <c r="Y727">
        <v>-0.93577514590792532</v>
      </c>
      <c r="Z727">
        <v>-0.94191502203069888</v>
      </c>
      <c r="AA727">
        <v>6.5185032398553198E-3</v>
      </c>
      <c r="AB727">
        <v>-0.25474310308610881</v>
      </c>
      <c r="AC727">
        <v>3.8707960314763752E-5</v>
      </c>
      <c r="AD727">
        <v>-0.15567569037416348</v>
      </c>
      <c r="AE727">
        <v>-0.12789777297811303</v>
      </c>
    </row>
    <row r="728" spans="23:31" x14ac:dyDescent="0.25">
      <c r="W728">
        <v>81.8</v>
      </c>
      <c r="X728">
        <v>82.798099080184116</v>
      </c>
      <c r="Y728">
        <v>-0.99809908018411875</v>
      </c>
      <c r="Z728">
        <v>-1.0043443724382257</v>
      </c>
      <c r="AA728">
        <v>6.2182777396798759E-3</v>
      </c>
      <c r="AB728">
        <v>-0.27166830489854105</v>
      </c>
      <c r="AC728">
        <v>4.1982120588192452E-5</v>
      </c>
      <c r="AD728">
        <v>-0.15567569037416348</v>
      </c>
      <c r="AE728">
        <v>-0.12737938246535252</v>
      </c>
    </row>
    <row r="729" spans="23:31" x14ac:dyDescent="0.25">
      <c r="W729">
        <v>81.599999999999994</v>
      </c>
      <c r="X729">
        <v>79.621768540106231</v>
      </c>
      <c r="Y729">
        <v>1.9782314598937631</v>
      </c>
      <c r="Z729">
        <v>2.0015109642344129</v>
      </c>
      <c r="AA729">
        <v>1.1630965184120434E-2</v>
      </c>
      <c r="AB729">
        <v>0.53991868684536426</v>
      </c>
      <c r="AC729">
        <v>3.1186070592962147E-4</v>
      </c>
      <c r="AD729">
        <v>-0.15567569037416348</v>
      </c>
      <c r="AE729">
        <v>-0.12663732509711345</v>
      </c>
    </row>
    <row r="730" spans="23:31" x14ac:dyDescent="0.25">
      <c r="W730">
        <v>81.5</v>
      </c>
      <c r="X730">
        <v>79.150585695205024</v>
      </c>
      <c r="Y730">
        <v>2.3494143047949763</v>
      </c>
      <c r="Z730">
        <v>2.3577380423822376</v>
      </c>
      <c r="AA730">
        <v>3.5303911790183296E-3</v>
      </c>
      <c r="AB730">
        <v>0.63861394813730465</v>
      </c>
      <c r="AC730">
        <v>1.3135387406337305E-4</v>
      </c>
      <c r="AD730">
        <v>-0.15567569037416348</v>
      </c>
      <c r="AE730">
        <v>-0.12566318608983512</v>
      </c>
    </row>
    <row r="731" spans="23:31" x14ac:dyDescent="0.25">
      <c r="W731">
        <v>81.3</v>
      </c>
      <c r="X731">
        <v>81.181724860384222</v>
      </c>
      <c r="Y731">
        <v>0.11827513961577552</v>
      </c>
      <c r="Z731">
        <v>0.11888329774495787</v>
      </c>
      <c r="AA731">
        <v>5.1155893277192244E-3</v>
      </c>
      <c r="AB731">
        <v>3.2174957101033998E-2</v>
      </c>
      <c r="AC731">
        <v>4.8391191418332192E-7</v>
      </c>
      <c r="AD731">
        <v>-0.15567569037416348</v>
      </c>
      <c r="AE731">
        <v>-0.12436801638105234</v>
      </c>
    </row>
    <row r="732" spans="23:31" x14ac:dyDescent="0.25">
      <c r="W732">
        <v>81.2</v>
      </c>
      <c r="X732">
        <v>78.791008469091551</v>
      </c>
      <c r="Y732">
        <v>2.4089915309084518</v>
      </c>
      <c r="Z732">
        <v>2.4161854634227637</v>
      </c>
      <c r="AA732">
        <v>2.9773925152751226E-3</v>
      </c>
      <c r="AB732">
        <v>0.65462651227866275</v>
      </c>
      <c r="AC732">
        <v>1.1633906830632037E-4</v>
      </c>
      <c r="AD732">
        <v>-0.15567569037416348</v>
      </c>
      <c r="AE732">
        <v>-0.12292470946854656</v>
      </c>
    </row>
    <row r="733" spans="23:31" x14ac:dyDescent="0.25">
      <c r="W733">
        <v>88</v>
      </c>
      <c r="X733">
        <v>80.306698124641358</v>
      </c>
      <c r="Y733">
        <v>7.6933018753586424</v>
      </c>
      <c r="Z733">
        <v>7.7241430469575505</v>
      </c>
      <c r="AA733">
        <v>3.9928276070766381E-3</v>
      </c>
      <c r="AB733">
        <v>2.0916661157006167</v>
      </c>
      <c r="AC733">
        <v>1.594447157874471E-3</v>
      </c>
      <c r="AD733">
        <v>-0.14337818601426075</v>
      </c>
      <c r="AE733">
        <v>-0.12252240419689298</v>
      </c>
    </row>
    <row r="734" spans="23:31" x14ac:dyDescent="0.25">
      <c r="W734">
        <v>89</v>
      </c>
      <c r="X734">
        <v>79.869860857775194</v>
      </c>
      <c r="Y734">
        <v>9.1301391422248059</v>
      </c>
      <c r="Z734">
        <v>9.1628981658289916</v>
      </c>
      <c r="AA734">
        <v>3.5751814558362596E-3</v>
      </c>
      <c r="AB734">
        <v>2.4817952447386307</v>
      </c>
      <c r="AC734">
        <v>2.0090593374965508E-3</v>
      </c>
      <c r="AD734">
        <v>-0.14337818601426075</v>
      </c>
      <c r="AE734">
        <v>-0.11980238961219732</v>
      </c>
    </row>
    <row r="735" spans="23:31" x14ac:dyDescent="0.25">
      <c r="W735">
        <v>79.900000000000006</v>
      </c>
      <c r="X735">
        <v>79.149098817719491</v>
      </c>
      <c r="Y735">
        <v>0.75090118228051494</v>
      </c>
      <c r="Z735">
        <v>0.75294440162002729</v>
      </c>
      <c r="AA735">
        <v>2.7136390616779877E-3</v>
      </c>
      <c r="AB735">
        <v>0.2040251323951528</v>
      </c>
      <c r="AC735">
        <v>1.0296908511925249E-5</v>
      </c>
      <c r="AD735">
        <v>-0.14337818601426075</v>
      </c>
      <c r="AE735">
        <v>-0.11946144576317244</v>
      </c>
    </row>
    <row r="736" spans="23:31" x14ac:dyDescent="0.25">
      <c r="W736">
        <v>80</v>
      </c>
      <c r="X736">
        <v>78.543281510739121</v>
      </c>
      <c r="Y736">
        <v>1.4567184892608793</v>
      </c>
      <c r="Z736">
        <v>1.4600662227960868</v>
      </c>
      <c r="AA736">
        <v>2.2928641748874191E-3</v>
      </c>
      <c r="AB736">
        <v>0.39571718713196963</v>
      </c>
      <c r="AC736">
        <v>3.2715411837302563E-5</v>
      </c>
      <c r="AD736">
        <v>-0.14337818601426075</v>
      </c>
      <c r="AE736">
        <v>-0.11884773337980899</v>
      </c>
    </row>
    <row r="737" spans="23:31" x14ac:dyDescent="0.25">
      <c r="W737">
        <v>79.8</v>
      </c>
      <c r="X737">
        <v>76.736796916796223</v>
      </c>
      <c r="Y737">
        <v>3.0632030832037742</v>
      </c>
      <c r="Z737">
        <v>3.0725527563462549</v>
      </c>
      <c r="AA737">
        <v>3.0429658606095969E-3</v>
      </c>
      <c r="AB737">
        <v>0.83243127683206675</v>
      </c>
      <c r="AC737">
        <v>1.9227584647765012E-4</v>
      </c>
      <c r="AD737">
        <v>-0.14337818601426075</v>
      </c>
      <c r="AE737">
        <v>-0.11767102664204998</v>
      </c>
    </row>
    <row r="738" spans="23:31" x14ac:dyDescent="0.25">
      <c r="W738">
        <v>79.400000000000006</v>
      </c>
      <c r="X738">
        <v>76.390148921323018</v>
      </c>
      <c r="Y738">
        <v>3.0098510786769879</v>
      </c>
      <c r="Z738">
        <v>3.0190066922891816</v>
      </c>
      <c r="AA738">
        <v>3.0326576074124643E-3</v>
      </c>
      <c r="AB738">
        <v>0.81792853934045451</v>
      </c>
      <c r="AC738">
        <v>1.850037309249677E-4</v>
      </c>
      <c r="AD738">
        <v>-0.14337818601426075</v>
      </c>
      <c r="AE738">
        <v>-0.11733305278388338</v>
      </c>
    </row>
    <row r="739" spans="23:31" x14ac:dyDescent="0.25">
      <c r="W739">
        <v>75.8</v>
      </c>
      <c r="X739">
        <v>72.959590570209045</v>
      </c>
      <c r="Y739">
        <v>2.8404094297909523</v>
      </c>
      <c r="Z739">
        <v>2.8444535542785729</v>
      </c>
      <c r="AA739">
        <v>1.4217579617478921E-3</v>
      </c>
      <c r="AB739">
        <v>0.77125983706982015</v>
      </c>
      <c r="AC739">
        <v>7.6993190639220393E-5</v>
      </c>
      <c r="AD739">
        <v>-0.14337818601426075</v>
      </c>
      <c r="AE739">
        <v>-0.11284910147492822</v>
      </c>
    </row>
    <row r="740" spans="23:31" x14ac:dyDescent="0.25">
      <c r="W740">
        <v>75.599999999999994</v>
      </c>
      <c r="X740">
        <v>72.70238915743515</v>
      </c>
      <c r="Y740">
        <v>2.8976108425648448</v>
      </c>
      <c r="Z740">
        <v>2.9018599793066358</v>
      </c>
      <c r="AA740">
        <v>1.464280417420258E-3</v>
      </c>
      <c r="AB740">
        <v>0.78680855896406998</v>
      </c>
      <c r="AC740">
        <v>8.2528911155195354E-5</v>
      </c>
      <c r="AD740">
        <v>-0.14337818601426075</v>
      </c>
      <c r="AE740">
        <v>-0.11237774802827102</v>
      </c>
    </row>
    <row r="741" spans="23:31" x14ac:dyDescent="0.25">
      <c r="W741">
        <v>75.3</v>
      </c>
      <c r="X741">
        <v>72.737435330969674</v>
      </c>
      <c r="Y741">
        <v>2.5625646690303228</v>
      </c>
      <c r="Z741">
        <v>2.5664603316333654</v>
      </c>
      <c r="AA741">
        <v>1.5179126499728897E-3</v>
      </c>
      <c r="AB741">
        <v>0.69584981332797335</v>
      </c>
      <c r="AC741">
        <v>6.6918291930954574E-5</v>
      </c>
      <c r="AD741">
        <v>-0.14337818601426075</v>
      </c>
      <c r="AE741">
        <v>-0.11107274632919825</v>
      </c>
    </row>
    <row r="742" spans="23:31" x14ac:dyDescent="0.25">
      <c r="W742">
        <v>75.2</v>
      </c>
      <c r="X742">
        <v>72.499959046602157</v>
      </c>
      <c r="Y742">
        <v>2.7000409533978456</v>
      </c>
      <c r="Z742">
        <v>2.7039886618002242</v>
      </c>
      <c r="AA742">
        <v>1.4599574540181779E-3</v>
      </c>
      <c r="AB742">
        <v>0.73315943669057071</v>
      </c>
      <c r="AC742">
        <v>7.1446159224972E-5</v>
      </c>
      <c r="AD742">
        <v>-0.12956927093944987</v>
      </c>
      <c r="AE742">
        <v>-0.11042223930974428</v>
      </c>
    </row>
    <row r="743" spans="23:31" x14ac:dyDescent="0.25">
      <c r="W743">
        <v>75</v>
      </c>
      <c r="X743">
        <v>70.951136279451319</v>
      </c>
      <c r="Y743">
        <v>4.048863720548681</v>
      </c>
      <c r="Z743">
        <v>4.0665932868500647</v>
      </c>
      <c r="AA743">
        <v>4.3598080876967853E-3</v>
      </c>
      <c r="AB743">
        <v>1.1010138175516835</v>
      </c>
      <c r="AC743">
        <v>4.8256720742763235E-4</v>
      </c>
      <c r="AD743">
        <v>-0.12956927093944987</v>
      </c>
      <c r="AE743">
        <v>-0.10810218219288935</v>
      </c>
    </row>
    <row r="744" spans="23:31" x14ac:dyDescent="0.25">
      <c r="W744">
        <v>74.7</v>
      </c>
      <c r="X744">
        <v>70.605298933477599</v>
      </c>
      <c r="Y744">
        <v>4.0947010665224042</v>
      </c>
      <c r="Z744">
        <v>4.1387311038267143</v>
      </c>
      <c r="AA744">
        <v>1.0638535386749998E-2</v>
      </c>
      <c r="AB744">
        <v>1.1170060523385186</v>
      </c>
      <c r="AC744">
        <v>1.2196780812808328E-3</v>
      </c>
      <c r="AD744">
        <v>-0.12956927093944987</v>
      </c>
      <c r="AE744">
        <v>-0.10762852109595164</v>
      </c>
    </row>
    <row r="745" spans="23:31" x14ac:dyDescent="0.25">
      <c r="W745">
        <v>74.5</v>
      </c>
      <c r="X745">
        <v>72.163932874382326</v>
      </c>
      <c r="Y745">
        <v>2.3360671256176744</v>
      </c>
      <c r="Z745">
        <v>2.3392096314030368</v>
      </c>
      <c r="AA745">
        <v>1.3434049446354043E-3</v>
      </c>
      <c r="AB745">
        <v>0.63429027187437426</v>
      </c>
      <c r="AC745">
        <v>4.9201028824076039E-5</v>
      </c>
      <c r="AD745">
        <v>-0.12956927093944987</v>
      </c>
      <c r="AE745">
        <v>-0.10747777033338742</v>
      </c>
    </row>
    <row r="746" spans="23:31" x14ac:dyDescent="0.25">
      <c r="W746">
        <v>74.2</v>
      </c>
      <c r="X746">
        <v>71.694197938906683</v>
      </c>
      <c r="Y746">
        <v>2.5058020610933198</v>
      </c>
      <c r="Z746">
        <v>2.5093588078972431</v>
      </c>
      <c r="AA746">
        <v>1.4173926792484877E-3</v>
      </c>
      <c r="AB746">
        <v>0.68040200292264685</v>
      </c>
      <c r="AC746">
        <v>5.9737173441734276E-5</v>
      </c>
      <c r="AD746">
        <v>-0.12344005334831042</v>
      </c>
      <c r="AE746">
        <v>-0.10632074935877978</v>
      </c>
    </row>
    <row r="747" spans="23:31" x14ac:dyDescent="0.25">
      <c r="W747">
        <v>74</v>
      </c>
      <c r="X747">
        <v>73.849665211959646</v>
      </c>
      <c r="Y747">
        <v>0.15033478804035383</v>
      </c>
      <c r="Z747">
        <v>0.15076197858519436</v>
      </c>
      <c r="AA747">
        <v>2.8335429717964056E-3</v>
      </c>
      <c r="AB747">
        <v>4.0849474974954496E-2</v>
      </c>
      <c r="AC747">
        <v>4.3106465558838079E-7</v>
      </c>
      <c r="AD747">
        <v>-0.12344005334831042</v>
      </c>
      <c r="AE747">
        <v>-0.10496707838626659</v>
      </c>
    </row>
    <row r="748" spans="23:31" x14ac:dyDescent="0.25">
      <c r="W748">
        <v>73.5</v>
      </c>
      <c r="X748">
        <v>70.913789130443959</v>
      </c>
      <c r="Y748">
        <v>2.5862108695560408</v>
      </c>
      <c r="Z748">
        <v>2.5904433493040955</v>
      </c>
      <c r="AA748">
        <v>1.6338823812506293E-3</v>
      </c>
      <c r="AB748">
        <v>0.70231159068656412</v>
      </c>
      <c r="AC748">
        <v>7.3383419111716115E-5</v>
      </c>
      <c r="AD748">
        <v>-0.12344005334831042</v>
      </c>
      <c r="AE748">
        <v>-0.10161485307639477</v>
      </c>
    </row>
    <row r="749" spans="23:31" x14ac:dyDescent="0.25">
      <c r="W749">
        <v>73.3</v>
      </c>
      <c r="X749">
        <v>69.313886370859791</v>
      </c>
      <c r="Y749">
        <v>3.9861136291402062</v>
      </c>
      <c r="Z749">
        <v>3.9942042147764028</v>
      </c>
      <c r="AA749">
        <v>2.0255813676876566E-3</v>
      </c>
      <c r="AB749">
        <v>1.0826816849637861</v>
      </c>
      <c r="AC749">
        <v>2.1629136409117371E-4</v>
      </c>
      <c r="AD749">
        <v>-0.12344005334831042</v>
      </c>
      <c r="AE749">
        <v>-9.9288367492362556E-2</v>
      </c>
    </row>
    <row r="750" spans="23:31" x14ac:dyDescent="0.25">
      <c r="W750">
        <v>73.099999999999994</v>
      </c>
      <c r="X750">
        <v>69.991328904230258</v>
      </c>
      <c r="Y750">
        <v>3.1086710957697363</v>
      </c>
      <c r="Z750">
        <v>3.113591434474742</v>
      </c>
      <c r="AA750">
        <v>1.5802775696667514E-3</v>
      </c>
      <c r="AB750">
        <v>0.8441682609795973</v>
      </c>
      <c r="AC750">
        <v>1.0253817379482712E-4</v>
      </c>
      <c r="AD750">
        <v>-0.11731546960548965</v>
      </c>
      <c r="AE750">
        <v>-9.7686533906849643E-2</v>
      </c>
    </row>
    <row r="751" spans="23:31" x14ac:dyDescent="0.25">
      <c r="W751">
        <v>74</v>
      </c>
      <c r="X751">
        <v>74.731932152900342</v>
      </c>
      <c r="Y751">
        <v>-0.73193215290034175</v>
      </c>
      <c r="Z751">
        <v>-0.73497207521945995</v>
      </c>
      <c r="AA751">
        <v>4.136105876144376E-3</v>
      </c>
      <c r="AB751">
        <v>-0.19901309425507802</v>
      </c>
      <c r="AC751">
        <v>1.495416883304377E-5</v>
      </c>
      <c r="AD751">
        <v>-0.11731546960548965</v>
      </c>
      <c r="AE751">
        <v>-9.6573736332897231E-2</v>
      </c>
    </row>
    <row r="752" spans="23:31" x14ac:dyDescent="0.25">
      <c r="W752">
        <v>73.900000000000006</v>
      </c>
      <c r="X752">
        <v>74.889525927790345</v>
      </c>
      <c r="Y752">
        <v>-0.98952592779033921</v>
      </c>
      <c r="Z752">
        <v>-0.99344292558258473</v>
      </c>
      <c r="AA752">
        <v>3.9428513620396542E-3</v>
      </c>
      <c r="AB752">
        <v>-0.26902700070204205</v>
      </c>
      <c r="AC752">
        <v>2.6045050456405888E-5</v>
      </c>
      <c r="AD752">
        <v>-0.11731546960548965</v>
      </c>
      <c r="AE752">
        <v>-8.8673028505561483E-2</v>
      </c>
    </row>
    <row r="753" spans="23:31" x14ac:dyDescent="0.25">
      <c r="W753">
        <v>73.7</v>
      </c>
      <c r="X753">
        <v>74.47066376539631</v>
      </c>
      <c r="Y753">
        <v>-0.7706637653963071</v>
      </c>
      <c r="Z753">
        <v>-0.77392531080059257</v>
      </c>
      <c r="AA753">
        <v>4.2142896204150019E-3</v>
      </c>
      <c r="AB753">
        <v>-0.20955248493410333</v>
      </c>
      <c r="AC753">
        <v>1.6894736937619937E-5</v>
      </c>
      <c r="AD753">
        <v>-0.11731546960548965</v>
      </c>
      <c r="AE753">
        <v>-8.8569802958770927E-2</v>
      </c>
    </row>
    <row r="754" spans="23:31" x14ac:dyDescent="0.25">
      <c r="W754">
        <v>73.599999999999994</v>
      </c>
      <c r="X754">
        <v>74.653555943601575</v>
      </c>
      <c r="Y754">
        <v>-1.0535559436015802</v>
      </c>
      <c r="Z754">
        <v>-1.0581554679334459</v>
      </c>
      <c r="AA754">
        <v>4.3467377632555315E-3</v>
      </c>
      <c r="AB754">
        <v>-0.28649322816345391</v>
      </c>
      <c r="AC754">
        <v>3.2575519923012906E-5</v>
      </c>
      <c r="AD754">
        <v>-0.11731546960548965</v>
      </c>
      <c r="AE754">
        <v>-8.6584017569531255E-2</v>
      </c>
    </row>
    <row r="755" spans="23:31" x14ac:dyDescent="0.25">
      <c r="W755">
        <v>73.400000000000006</v>
      </c>
      <c r="X755">
        <v>75.012301066986922</v>
      </c>
      <c r="Y755">
        <v>-1.612301066986916</v>
      </c>
      <c r="Z755">
        <v>-1.6191008378914233</v>
      </c>
      <c r="AA755">
        <v>4.1997204530930124E-3</v>
      </c>
      <c r="AB755">
        <v>-0.43840029679425979</v>
      </c>
      <c r="AC755">
        <v>7.3688061759712433E-5</v>
      </c>
      <c r="AD755">
        <v>-0.11731546960548965</v>
      </c>
      <c r="AE755">
        <v>-8.3021184785176325E-2</v>
      </c>
    </row>
    <row r="756" spans="23:31" x14ac:dyDescent="0.25">
      <c r="W756">
        <v>73.3</v>
      </c>
      <c r="X756">
        <v>73.373009925389681</v>
      </c>
      <c r="Y756">
        <v>-7.3009925389683872E-2</v>
      </c>
      <c r="Z756">
        <v>-7.360405786491242E-2</v>
      </c>
      <c r="AA756">
        <v>8.072007066827723E-3</v>
      </c>
      <c r="AB756">
        <v>-1.9890818354838732E-2</v>
      </c>
      <c r="AC756">
        <v>2.9269412446854214E-7</v>
      </c>
      <c r="AD756">
        <v>-0.11731546960548965</v>
      </c>
      <c r="AE756">
        <v>-8.266555439248241E-2</v>
      </c>
    </row>
    <row r="757" spans="23:31" x14ac:dyDescent="0.25">
      <c r="W757">
        <v>73.099999999999994</v>
      </c>
      <c r="X757">
        <v>73.154988659350408</v>
      </c>
      <c r="Y757">
        <v>-5.4988659350414082E-2</v>
      </c>
      <c r="Z757">
        <v>-5.5404286892468235E-2</v>
      </c>
      <c r="AA757">
        <v>7.5017217143954987E-3</v>
      </c>
      <c r="AB757">
        <v>-1.4976801387739783E-2</v>
      </c>
      <c r="AC757">
        <v>1.5412626113652311E-7</v>
      </c>
      <c r="AD757">
        <v>-0.10660788786182936</v>
      </c>
      <c r="AE757">
        <v>-8.2536997073724055E-2</v>
      </c>
    </row>
    <row r="758" spans="23:31" x14ac:dyDescent="0.25">
      <c r="W758">
        <v>73</v>
      </c>
      <c r="X758">
        <v>76.99034365048928</v>
      </c>
      <c r="Y758">
        <v>-3.9903436504892795</v>
      </c>
      <c r="Z758">
        <v>-4.0081692360155472</v>
      </c>
      <c r="AA758">
        <v>4.4473135929721111E-3</v>
      </c>
      <c r="AB758">
        <v>-1.085148050920989</v>
      </c>
      <c r="AC758">
        <v>4.7821017174462462E-4</v>
      </c>
      <c r="AD758">
        <v>-0.10660788786182936</v>
      </c>
      <c r="AE758">
        <v>-8.1209597259793861E-2</v>
      </c>
    </row>
    <row r="759" spans="23:31" x14ac:dyDescent="0.25">
      <c r="W759">
        <v>72.8</v>
      </c>
      <c r="X759">
        <v>75.054719967226362</v>
      </c>
      <c r="Y759">
        <v>-2.2547199672263645</v>
      </c>
      <c r="Z759">
        <v>-2.2643429744165644</v>
      </c>
      <c r="AA759">
        <v>4.249801067650787E-3</v>
      </c>
      <c r="AB759">
        <v>-0.61309564322445809</v>
      </c>
      <c r="AC759">
        <v>1.4584178602889851E-4</v>
      </c>
      <c r="AD759">
        <v>-0.10660788786182936</v>
      </c>
      <c r="AE759">
        <v>-7.5504905406829567E-2</v>
      </c>
    </row>
    <row r="760" spans="23:31" x14ac:dyDescent="0.25">
      <c r="W760">
        <v>72.400000000000006</v>
      </c>
      <c r="X760">
        <v>74.79007156365526</v>
      </c>
      <c r="Y760">
        <v>-2.3900715636552547</v>
      </c>
      <c r="Z760">
        <v>-2.4004769747517543</v>
      </c>
      <c r="AA760">
        <v>4.3347264755886827E-3</v>
      </c>
      <c r="AB760">
        <v>-0.64992769653624638</v>
      </c>
      <c r="AC760">
        <v>1.671805472294671E-4</v>
      </c>
      <c r="AD760">
        <v>-0.10660788786182936</v>
      </c>
      <c r="AE760">
        <v>-7.1542663265488193E-2</v>
      </c>
    </row>
    <row r="761" spans="23:31" x14ac:dyDescent="0.25">
      <c r="W761">
        <v>72.5</v>
      </c>
      <c r="X761">
        <v>74.493188484137249</v>
      </c>
      <c r="Y761">
        <v>-1.9931884841372494</v>
      </c>
      <c r="Z761">
        <v>-2.0024844759306006</v>
      </c>
      <c r="AA761">
        <v>4.6422291433924692E-3</v>
      </c>
      <c r="AB761">
        <v>-0.54208773798866816</v>
      </c>
      <c r="AC761">
        <v>1.2459305778303413E-4</v>
      </c>
      <c r="AD761">
        <v>-0.10660788786182936</v>
      </c>
      <c r="AE761">
        <v>-7.1466013385758101E-2</v>
      </c>
    </row>
    <row r="762" spans="23:31" x14ac:dyDescent="0.25">
      <c r="W762">
        <v>72.3</v>
      </c>
      <c r="X762">
        <v>74.199403489563522</v>
      </c>
      <c r="Y762">
        <v>-1.8994034895635252</v>
      </c>
      <c r="Z762">
        <v>-1.9074346317193545</v>
      </c>
      <c r="AA762">
        <v>4.2104416173834583E-3</v>
      </c>
      <c r="AB762">
        <v>-0.51646901017457802</v>
      </c>
      <c r="AC762">
        <v>1.0253117434973028E-4</v>
      </c>
      <c r="AD762">
        <v>-0.10660788786182936</v>
      </c>
      <c r="AE762">
        <v>-7.1397247719999765E-2</v>
      </c>
    </row>
    <row r="763" spans="23:31" x14ac:dyDescent="0.25">
      <c r="W763">
        <v>72.099999999999994</v>
      </c>
      <c r="X763">
        <v>73.904205407070066</v>
      </c>
      <c r="Y763">
        <v>-1.8042054070700715</v>
      </c>
      <c r="Z763">
        <v>-1.8124004069831727</v>
      </c>
      <c r="AA763">
        <v>4.5216277162175326E-3</v>
      </c>
      <c r="AB763">
        <v>-0.49066026104755767</v>
      </c>
      <c r="AC763">
        <v>9.9410454466449091E-5</v>
      </c>
      <c r="AD763">
        <v>-9.743972564826138E-2</v>
      </c>
      <c r="AE763">
        <v>-7.1013805830499141E-2</v>
      </c>
    </row>
    <row r="764" spans="23:31" x14ac:dyDescent="0.25">
      <c r="W764">
        <v>71.900000000000006</v>
      </c>
      <c r="X764">
        <v>73.598451463895671</v>
      </c>
      <c r="Y764">
        <v>-1.6984514638956654</v>
      </c>
      <c r="Z764">
        <v>-1.7066037976546795</v>
      </c>
      <c r="AA764">
        <v>4.7769340313302874E-3</v>
      </c>
      <c r="AB764">
        <v>-0.46195933152585594</v>
      </c>
      <c r="AC764">
        <v>9.3120138689762883E-5</v>
      </c>
      <c r="AD764">
        <v>-9.743972564826138E-2</v>
      </c>
      <c r="AE764">
        <v>-7.0814215465861655E-2</v>
      </c>
    </row>
    <row r="765" spans="23:31" x14ac:dyDescent="0.25">
      <c r="W765">
        <v>71.7</v>
      </c>
      <c r="X765">
        <v>73.182029774532793</v>
      </c>
      <c r="Y765">
        <v>-1.4820297745327906</v>
      </c>
      <c r="Z765">
        <v>-1.4884421596236592</v>
      </c>
      <c r="AA765">
        <v>4.3081184239529809E-3</v>
      </c>
      <c r="AB765">
        <v>-0.40300020387487995</v>
      </c>
      <c r="AC765">
        <v>6.3882295497795066E-5</v>
      </c>
      <c r="AD765">
        <v>-9.743972564826138E-2</v>
      </c>
      <c r="AE765">
        <v>-6.6052434267456619E-2</v>
      </c>
    </row>
    <row r="766" spans="23:31" x14ac:dyDescent="0.25">
      <c r="W766">
        <v>69.900000000000006</v>
      </c>
      <c r="X766">
        <v>77.351993532933179</v>
      </c>
      <c r="Y766">
        <v>-7.451993532933173</v>
      </c>
      <c r="Z766">
        <v>-7.4733895573418607</v>
      </c>
      <c r="AA766">
        <v>2.8629612098393141E-3</v>
      </c>
      <c r="AB766">
        <v>-2.0249106526263181</v>
      </c>
      <c r="AC766">
        <v>1.0702362586929798E-3</v>
      </c>
      <c r="AD766">
        <v>-9.743972564826138E-2</v>
      </c>
      <c r="AE766">
        <v>-6.5361048128634386E-2</v>
      </c>
    </row>
    <row r="767" spans="23:31" x14ac:dyDescent="0.25">
      <c r="W767">
        <v>69.5</v>
      </c>
      <c r="X767">
        <v>77.177201932963101</v>
      </c>
      <c r="Y767">
        <v>-7.6772019329631007</v>
      </c>
      <c r="Z767">
        <v>-7.6992618549410565</v>
      </c>
      <c r="AA767">
        <v>2.8651995988159501E-3</v>
      </c>
      <c r="AB767">
        <v>-2.0861082818048122</v>
      </c>
      <c r="AC767">
        <v>1.1367946404426119E-3</v>
      </c>
      <c r="AD767">
        <v>-9.743972564826138E-2</v>
      </c>
      <c r="AE767">
        <v>-6.5044593143756227E-2</v>
      </c>
    </row>
    <row r="768" spans="23:31" x14ac:dyDescent="0.25">
      <c r="W768">
        <v>69.099999999999994</v>
      </c>
      <c r="X768">
        <v>71.80108326612698</v>
      </c>
      <c r="Y768">
        <v>-2.7010832661269859</v>
      </c>
      <c r="Z768">
        <v>-2.7189849311432397</v>
      </c>
      <c r="AA768">
        <v>6.5839515369166086E-3</v>
      </c>
      <c r="AB768">
        <v>-0.73533156088202378</v>
      </c>
      <c r="AC768">
        <v>3.2578357276063564E-4</v>
      </c>
      <c r="AD768">
        <v>-9.743972564826138E-2</v>
      </c>
      <c r="AE768">
        <v>-6.427351586822537E-2</v>
      </c>
    </row>
    <row r="769" spans="23:31" x14ac:dyDescent="0.25">
      <c r="W769">
        <v>68.5</v>
      </c>
      <c r="X769">
        <v>72.945290012395631</v>
      </c>
      <c r="Y769">
        <v>-4.4452900123956312</v>
      </c>
      <c r="Z769">
        <v>-4.4567516541741554</v>
      </c>
      <c r="AA769">
        <v>2.5717479159494423E-3</v>
      </c>
      <c r="AB769">
        <v>-1.2077306473424827</v>
      </c>
      <c r="AC769">
        <v>3.4189615772773323E-4</v>
      </c>
      <c r="AD769">
        <v>-9.743972564826138E-2</v>
      </c>
      <c r="AE769">
        <v>-6.1571255909068555E-2</v>
      </c>
    </row>
    <row r="770" spans="23:31" x14ac:dyDescent="0.25">
      <c r="W770">
        <v>67.8</v>
      </c>
      <c r="X770">
        <v>72.651692820076121</v>
      </c>
      <c r="Y770">
        <v>-4.8516928200761242</v>
      </c>
      <c r="Z770">
        <v>-4.866000113242805</v>
      </c>
      <c r="AA770">
        <v>2.9402574668556309E-3</v>
      </c>
      <c r="AB770">
        <v>-1.3183888622797868</v>
      </c>
      <c r="AC770">
        <v>4.6597063188667646E-4</v>
      </c>
      <c r="AD770">
        <v>-9.743972564826138E-2</v>
      </c>
      <c r="AE770">
        <v>-6.1181176941140863E-2</v>
      </c>
    </row>
    <row r="771" spans="23:31" x14ac:dyDescent="0.25">
      <c r="W771">
        <v>67.8</v>
      </c>
      <c r="X771">
        <v>73.022418249857807</v>
      </c>
      <c r="Y771">
        <v>-5.2224182498578102</v>
      </c>
      <c r="Z771">
        <v>-5.2371281415734074</v>
      </c>
      <c r="AA771">
        <v>2.8087706311445085E-3</v>
      </c>
      <c r="AB771">
        <v>-1.4190354511321415</v>
      </c>
      <c r="AC771">
        <v>5.156222278102729E-4</v>
      </c>
      <c r="AD771">
        <v>-9.743972564826138E-2</v>
      </c>
      <c r="AE771">
        <v>-6.0760124173890609E-2</v>
      </c>
    </row>
    <row r="772" spans="23:31" x14ac:dyDescent="0.25">
      <c r="W772">
        <v>66.599999999999994</v>
      </c>
      <c r="X772">
        <v>72.433414334683704</v>
      </c>
      <c r="Y772">
        <v>-5.8334143346837095</v>
      </c>
      <c r="Z772">
        <v>-5.8543742081866839</v>
      </c>
      <c r="AA772">
        <v>3.5802073385852416E-3</v>
      </c>
      <c r="AB772">
        <v>-1.5856687660796578</v>
      </c>
      <c r="AC772">
        <v>8.2129294272112604E-4</v>
      </c>
      <c r="AD772">
        <v>-9.743972564826138E-2</v>
      </c>
      <c r="AE772">
        <v>-5.8112800016207541E-2</v>
      </c>
    </row>
    <row r="773" spans="23:31" x14ac:dyDescent="0.25">
      <c r="W773">
        <v>65.3</v>
      </c>
      <c r="X773">
        <v>71.674616784539637</v>
      </c>
      <c r="Y773">
        <v>-6.37461678453964</v>
      </c>
      <c r="Z773">
        <v>-6.4032548015953381</v>
      </c>
      <c r="AA773">
        <v>4.4724156609479938E-3</v>
      </c>
      <c r="AB773">
        <v>-1.7335575065860398</v>
      </c>
      <c r="AC773">
        <v>1.2273620255586508E-3</v>
      </c>
      <c r="AD773">
        <v>-9.743972564826138E-2</v>
      </c>
      <c r="AE773">
        <v>-5.7799374621946661E-2</v>
      </c>
    </row>
    <row r="774" spans="23:31" x14ac:dyDescent="0.25">
      <c r="W774">
        <v>65</v>
      </c>
      <c r="X774">
        <v>71.09500604776548</v>
      </c>
      <c r="Y774">
        <v>-6.0950060477654802</v>
      </c>
      <c r="Z774">
        <v>-6.120874379883162</v>
      </c>
      <c r="AA774">
        <v>4.2262478384943849E-3</v>
      </c>
      <c r="AB774">
        <v>-1.6573133309164454</v>
      </c>
      <c r="AC774">
        <v>1.0597681165287482E-3</v>
      </c>
      <c r="AD774">
        <v>-9.743972564826138E-2</v>
      </c>
      <c r="AE774">
        <v>-5.5342676301950451E-2</v>
      </c>
    </row>
    <row r="775" spans="23:31" x14ac:dyDescent="0.25">
      <c r="W775">
        <v>64.599999999999994</v>
      </c>
      <c r="X775">
        <v>70.8065159933373</v>
      </c>
      <c r="Y775">
        <v>-6.2065159933373053</v>
      </c>
      <c r="Z775">
        <v>-6.2274915444925369</v>
      </c>
      <c r="AA775">
        <v>3.3682183276164436E-3</v>
      </c>
      <c r="AB775">
        <v>-1.6869077470765763</v>
      </c>
      <c r="AC775">
        <v>8.7428994286960096E-4</v>
      </c>
      <c r="AD775">
        <v>-9.743972564826138E-2</v>
      </c>
      <c r="AE775">
        <v>-5.3989205148593594E-2</v>
      </c>
    </row>
    <row r="776" spans="23:31" x14ac:dyDescent="0.25">
      <c r="W776">
        <v>64.7</v>
      </c>
      <c r="X776">
        <v>69.912515807345187</v>
      </c>
      <c r="Y776">
        <v>-5.2125158073451843</v>
      </c>
      <c r="Z776">
        <v>-5.2299874093413763</v>
      </c>
      <c r="AA776">
        <v>3.340658519557704E-3</v>
      </c>
      <c r="AB776">
        <v>-1.41672263996075</v>
      </c>
      <c r="AC776">
        <v>6.1159274665174737E-4</v>
      </c>
      <c r="AD776">
        <v>-9.743972564826138E-2</v>
      </c>
      <c r="AE776">
        <v>-5.3844853619190211E-2</v>
      </c>
    </row>
    <row r="777" spans="23:31" x14ac:dyDescent="0.25">
      <c r="W777">
        <v>64.400000000000006</v>
      </c>
      <c r="X777">
        <v>69.842277170627597</v>
      </c>
      <c r="Y777">
        <v>-5.442277170627591</v>
      </c>
      <c r="Z777">
        <v>-5.4610230288258492</v>
      </c>
      <c r="AA777">
        <v>3.4326641911788386E-3</v>
      </c>
      <c r="AB777">
        <v>-1.4792383313559041</v>
      </c>
      <c r="AC777">
        <v>6.8518569967446511E-4</v>
      </c>
      <c r="AD777">
        <v>-7.6077819866612773E-2</v>
      </c>
      <c r="AE777">
        <v>-5.2497446775203488E-2</v>
      </c>
    </row>
    <row r="778" spans="23:31" x14ac:dyDescent="0.25">
      <c r="W778">
        <v>64.7</v>
      </c>
      <c r="X778">
        <v>69.434398348352616</v>
      </c>
      <c r="Y778">
        <v>-4.7343983483526131</v>
      </c>
      <c r="Z778">
        <v>-4.7488281922616409</v>
      </c>
      <c r="AA778">
        <v>3.0386114899962373E-3</v>
      </c>
      <c r="AB778">
        <v>-1.2865789660432128</v>
      </c>
      <c r="AC778">
        <v>4.5864540379765713E-4</v>
      </c>
      <c r="AD778">
        <v>-7.6077819866612773E-2</v>
      </c>
      <c r="AE778">
        <v>-5.2250804037299599E-2</v>
      </c>
    </row>
    <row r="779" spans="23:31" x14ac:dyDescent="0.25">
      <c r="W779">
        <v>64.400000000000006</v>
      </c>
      <c r="X779">
        <v>68.698239219637841</v>
      </c>
      <c r="Y779">
        <v>-4.2982392196378356</v>
      </c>
      <c r="Z779">
        <v>-4.3121283150998835</v>
      </c>
      <c r="AA779">
        <v>3.2209374228070091E-3</v>
      </c>
      <c r="AB779">
        <v>-1.1681589725637564</v>
      </c>
      <c r="AC779">
        <v>4.00861727185728E-4</v>
      </c>
      <c r="AD779">
        <v>-7.6077819866612773E-2</v>
      </c>
      <c r="AE779">
        <v>-5.1106448144529734E-2</v>
      </c>
    </row>
    <row r="780" spans="23:31" x14ac:dyDescent="0.25">
      <c r="W780">
        <v>63.9</v>
      </c>
      <c r="X780">
        <v>68.369542740872504</v>
      </c>
      <c r="Y780">
        <v>-4.4695427408725052</v>
      </c>
      <c r="Z780">
        <v>-4.4832854573077796</v>
      </c>
      <c r="AA780">
        <v>3.0653226447735949E-3</v>
      </c>
      <c r="AB780">
        <v>-1.2146203785405663</v>
      </c>
      <c r="AC780">
        <v>4.1238032089497802E-4</v>
      </c>
      <c r="AD780">
        <v>-7.6077819866612773E-2</v>
      </c>
      <c r="AE780">
        <v>-5.0804421314509879E-2</v>
      </c>
    </row>
    <row r="781" spans="23:31" x14ac:dyDescent="0.25">
      <c r="W781">
        <v>62.9</v>
      </c>
      <c r="X781">
        <v>65.118029755176764</v>
      </c>
      <c r="Y781">
        <v>-2.2180297551767651</v>
      </c>
      <c r="Z781">
        <v>-2.2232383978582888</v>
      </c>
      <c r="AA781">
        <v>2.3428178851820237E-3</v>
      </c>
      <c r="AB781">
        <v>-0.60254227283320261</v>
      </c>
      <c r="AC781">
        <v>7.7506755063514723E-5</v>
      </c>
      <c r="AD781">
        <v>-7.6077819866612773E-2</v>
      </c>
      <c r="AE781">
        <v>-5.0712215297379952E-2</v>
      </c>
    </row>
    <row r="782" spans="23:31" x14ac:dyDescent="0.25">
      <c r="W782">
        <v>62.6</v>
      </c>
      <c r="X782">
        <v>63.968019174473937</v>
      </c>
      <c r="Y782">
        <v>-1.3680191744739361</v>
      </c>
      <c r="Z782">
        <v>-1.372517860088692</v>
      </c>
      <c r="AA782">
        <v>3.2776882149048582E-3</v>
      </c>
      <c r="AB782">
        <v>-0.37180558963891369</v>
      </c>
      <c r="AC782">
        <v>4.1326878504464585E-5</v>
      </c>
      <c r="AD782">
        <v>-7.6077819866612773E-2</v>
      </c>
      <c r="AE782">
        <v>-5.025271152932595E-2</v>
      </c>
    </row>
    <row r="783" spans="23:31" x14ac:dyDescent="0.25">
      <c r="W783">
        <v>62.1</v>
      </c>
      <c r="X783">
        <v>63.939333092453445</v>
      </c>
      <c r="Y783">
        <v>-1.8393330924534439</v>
      </c>
      <c r="Z783">
        <v>-1.8459391319680378</v>
      </c>
      <c r="AA783">
        <v>3.5786876176960736E-3</v>
      </c>
      <c r="AB783">
        <v>-0.49997662494677042</v>
      </c>
      <c r="AC783">
        <v>8.1618291310840078E-5</v>
      </c>
      <c r="AD783">
        <v>-7.6077819866612773E-2</v>
      </c>
      <c r="AE783">
        <v>-5.0058397207257341E-2</v>
      </c>
    </row>
    <row r="784" spans="23:31" x14ac:dyDescent="0.25">
      <c r="W784">
        <v>61.2</v>
      </c>
      <c r="X784">
        <v>64.087212252695082</v>
      </c>
      <c r="Y784">
        <v>-2.887212252695079</v>
      </c>
      <c r="Z784">
        <v>-2.8934433846933132</v>
      </c>
      <c r="AA784">
        <v>2.1535351378227314E-3</v>
      </c>
      <c r="AB784">
        <v>-0.78425567608224867</v>
      </c>
      <c r="AC784">
        <v>1.2067321827905731E-4</v>
      </c>
      <c r="AD784">
        <v>-7.6077819866612773E-2</v>
      </c>
      <c r="AE784">
        <v>-4.9278174649877361E-2</v>
      </c>
    </row>
    <row r="785" spans="23:31" x14ac:dyDescent="0.25">
      <c r="W785">
        <v>63</v>
      </c>
      <c r="X785">
        <v>61.312213613563088</v>
      </c>
      <c r="Y785">
        <v>1.6877863864369118</v>
      </c>
      <c r="Z785">
        <v>1.7044941800037918</v>
      </c>
      <c r="AA785">
        <v>9.8022004198604004E-3</v>
      </c>
      <c r="AB785">
        <v>0.46022194249532722</v>
      </c>
      <c r="AC785">
        <v>1.9060907696691784E-4</v>
      </c>
      <c r="AD785">
        <v>-6.3887210036911155E-2</v>
      </c>
      <c r="AE785">
        <v>-4.8945699247526425E-2</v>
      </c>
    </row>
    <row r="786" spans="23:31" x14ac:dyDescent="0.25">
      <c r="W786">
        <v>59.1</v>
      </c>
      <c r="X786">
        <v>61.787916312577067</v>
      </c>
      <c r="Y786">
        <v>-2.687916312577066</v>
      </c>
      <c r="Z786">
        <v>-2.694184109098984</v>
      </c>
      <c r="AA786">
        <v>2.3264173004174959E-3</v>
      </c>
      <c r="AB786">
        <v>-0.73018402404466809</v>
      </c>
      <c r="AC786">
        <v>1.1302411476406229E-4</v>
      </c>
      <c r="AD786">
        <v>-6.3887210036911155E-2</v>
      </c>
      <c r="AE786">
        <v>-4.7289759884567205E-2</v>
      </c>
    </row>
    <row r="787" spans="23:31" x14ac:dyDescent="0.25">
      <c r="W787">
        <v>57.9</v>
      </c>
      <c r="X787">
        <v>60.405139722873031</v>
      </c>
      <c r="Y787">
        <v>-2.5051397228730323</v>
      </c>
      <c r="Z787">
        <v>-2.5118308695837399</v>
      </c>
      <c r="AA787">
        <v>2.6638524081097799E-3</v>
      </c>
      <c r="AB787">
        <v>-0.68064709216194641</v>
      </c>
      <c r="AC787">
        <v>1.1249154996254381E-4</v>
      </c>
      <c r="AD787">
        <v>-6.3887210036911155E-2</v>
      </c>
      <c r="AE787">
        <v>-4.6090313052179525E-2</v>
      </c>
    </row>
    <row r="788" spans="23:31" x14ac:dyDescent="0.25">
      <c r="W788">
        <v>56.8</v>
      </c>
      <c r="X788">
        <v>58.360603389564936</v>
      </c>
      <c r="Y788">
        <v>-1.5606033895649389</v>
      </c>
      <c r="Z788">
        <v>-1.5645490570108578</v>
      </c>
      <c r="AA788">
        <v>2.5219199284556171E-3</v>
      </c>
      <c r="AB788">
        <v>-0.42398616507538184</v>
      </c>
      <c r="AC788">
        <v>4.1317936011284232E-5</v>
      </c>
      <c r="AD788">
        <v>-6.3887210036911155E-2</v>
      </c>
      <c r="AE788">
        <v>-4.4693662206387284E-2</v>
      </c>
    </row>
    <row r="789" spans="23:31" x14ac:dyDescent="0.25">
      <c r="W789">
        <v>55.3</v>
      </c>
      <c r="X789">
        <v>55.144973252782975</v>
      </c>
      <c r="Y789">
        <v>0.15502674721702192</v>
      </c>
      <c r="Z789">
        <v>0.15660555300723189</v>
      </c>
      <c r="AA789">
        <v>1.0081416398688653E-2</v>
      </c>
      <c r="AB789">
        <v>4.2278319470464586E-2</v>
      </c>
      <c r="AC789">
        <v>1.6548735812049367E-6</v>
      </c>
      <c r="AD789">
        <v>-6.3887210036911155E-2</v>
      </c>
      <c r="AE789">
        <v>-4.4097552464845001E-2</v>
      </c>
    </row>
    <row r="790" spans="23:31" x14ac:dyDescent="0.25">
      <c r="W790">
        <v>54.1</v>
      </c>
      <c r="X790">
        <v>55.390283050300994</v>
      </c>
      <c r="Y790">
        <v>-1.2902830503009923</v>
      </c>
      <c r="Z790">
        <v>-1.2949670915883402</v>
      </c>
      <c r="AA790">
        <v>3.6171122168067301E-3</v>
      </c>
      <c r="AB790">
        <v>-0.35073788772068437</v>
      </c>
      <c r="AC790">
        <v>4.0598351692094629E-5</v>
      </c>
      <c r="AD790">
        <v>-6.3887210036911155E-2</v>
      </c>
      <c r="AE790">
        <v>-4.3524903350078803E-2</v>
      </c>
    </row>
    <row r="791" spans="23:31" x14ac:dyDescent="0.25">
      <c r="W791">
        <v>53</v>
      </c>
      <c r="X791">
        <v>53.480788705229124</v>
      </c>
      <c r="Y791">
        <v>-0.48078870522912354</v>
      </c>
      <c r="Z791">
        <v>-0.48285431483660801</v>
      </c>
      <c r="AA791">
        <v>4.2779147747292372E-3</v>
      </c>
      <c r="AB791">
        <v>-0.13073624488885305</v>
      </c>
      <c r="AC791">
        <v>6.6756462745039321E-6</v>
      </c>
      <c r="AD791">
        <v>-6.3887210036911155E-2</v>
      </c>
      <c r="AE791">
        <v>-3.9932945906462583E-2</v>
      </c>
    </row>
    <row r="792" spans="23:31" x14ac:dyDescent="0.25">
      <c r="W792">
        <v>52.4</v>
      </c>
      <c r="X792">
        <v>52.042191849908768</v>
      </c>
      <c r="Y792">
        <v>0.35780815009123046</v>
      </c>
      <c r="Z792">
        <v>0.35952230113917949</v>
      </c>
      <c r="AA792">
        <v>4.7678573554866405E-3</v>
      </c>
      <c r="AB792">
        <v>9.7319272051139993E-2</v>
      </c>
      <c r="AC792">
        <v>4.1248093321059463E-6</v>
      </c>
      <c r="AD792">
        <v>-6.3887210036911155E-2</v>
      </c>
      <c r="AE792">
        <v>-3.7736191812615956E-2</v>
      </c>
    </row>
    <row r="793" spans="23:31" x14ac:dyDescent="0.25">
      <c r="W793">
        <v>52.1</v>
      </c>
      <c r="X793">
        <v>52.006020001478873</v>
      </c>
      <c r="Y793">
        <v>9.3979998521128039E-2</v>
      </c>
      <c r="Z793">
        <v>9.447359218646767E-2</v>
      </c>
      <c r="AA793">
        <v>5.2246734131577988E-3</v>
      </c>
      <c r="AB793">
        <v>2.5567234303114479E-2</v>
      </c>
      <c r="AC793">
        <v>3.1211091814885964E-7</v>
      </c>
      <c r="AD793">
        <v>-5.1706087511076533E-2</v>
      </c>
      <c r="AE793">
        <v>-3.2679300052419424E-2</v>
      </c>
    </row>
    <row r="794" spans="23:31" x14ac:dyDescent="0.25">
      <c r="W794">
        <v>66.099999999999994</v>
      </c>
      <c r="X794">
        <v>73.750156733876409</v>
      </c>
      <c r="Y794">
        <v>-7.6501567338764147</v>
      </c>
      <c r="Z794">
        <v>-7.7236817053043012</v>
      </c>
      <c r="AA794">
        <v>9.5194201720389809E-3</v>
      </c>
      <c r="AB794">
        <v>-2.0857303971837409</v>
      </c>
      <c r="AC794">
        <v>3.8009152611691347E-3</v>
      </c>
      <c r="AD794">
        <v>-5.1706087511076533E-2</v>
      </c>
      <c r="AE794">
        <v>-3.1443324185584091E-2</v>
      </c>
    </row>
    <row r="795" spans="23:31" x14ac:dyDescent="0.25">
      <c r="W795">
        <v>65.8</v>
      </c>
      <c r="X795">
        <v>73.734190845706067</v>
      </c>
      <c r="Y795">
        <v>-7.9341908457060697</v>
      </c>
      <c r="Z795">
        <v>-8.0115810837559422</v>
      </c>
      <c r="AA795">
        <v>9.6597958930716432E-3</v>
      </c>
      <c r="AB795">
        <v>-2.1633224516989382</v>
      </c>
      <c r="AC795">
        <v>4.1498592769600084E-3</v>
      </c>
      <c r="AD795">
        <v>-5.1706087511076533E-2</v>
      </c>
      <c r="AE795">
        <v>-2.9581371200638744E-2</v>
      </c>
    </row>
    <row r="796" spans="23:31" x14ac:dyDescent="0.25">
      <c r="W796">
        <v>65.7</v>
      </c>
      <c r="X796">
        <v>73.593191101674336</v>
      </c>
      <c r="Y796">
        <v>-7.8931911016743328</v>
      </c>
      <c r="Z796">
        <v>-7.9671190961620226</v>
      </c>
      <c r="AA796">
        <v>9.2791376149127577E-3</v>
      </c>
      <c r="AB796">
        <v>-2.1517300421343264</v>
      </c>
      <c r="AC796">
        <v>3.9422048599202153E-3</v>
      </c>
      <c r="AD796">
        <v>-4.7140240828996732E-2</v>
      </c>
      <c r="AE796">
        <v>-2.9244164418415028E-2</v>
      </c>
    </row>
    <row r="797" spans="23:31" x14ac:dyDescent="0.25">
      <c r="W797">
        <v>65.5</v>
      </c>
      <c r="X797">
        <v>73.589732565145553</v>
      </c>
      <c r="Y797">
        <v>-8.0897325651455532</v>
      </c>
      <c r="Z797">
        <v>-8.1642269818749469</v>
      </c>
      <c r="AA797">
        <v>9.1244911361197546E-3</v>
      </c>
      <c r="AB797">
        <v>-2.2051362956086145</v>
      </c>
      <c r="AC797">
        <v>4.0706873676581374E-3</v>
      </c>
      <c r="AD797">
        <v>-4.7140240828996732E-2</v>
      </c>
      <c r="AE797">
        <v>-2.9219709304673217E-2</v>
      </c>
    </row>
    <row r="798" spans="23:31" x14ac:dyDescent="0.25">
      <c r="W798">
        <v>65.3</v>
      </c>
      <c r="X798">
        <v>73.375436393980408</v>
      </c>
      <c r="Y798">
        <v>-8.0754363939804108</v>
      </c>
      <c r="Z798">
        <v>-8.1448448972862053</v>
      </c>
      <c r="AA798">
        <v>8.5217710319960976E-3</v>
      </c>
      <c r="AB798">
        <v>-2.2005702109338574</v>
      </c>
      <c r="AC798">
        <v>3.7837675898127155E-3</v>
      </c>
      <c r="AD798">
        <v>-4.7140240828996732E-2</v>
      </c>
      <c r="AE798">
        <v>-2.8877704711549317E-2</v>
      </c>
    </row>
    <row r="799" spans="23:31" x14ac:dyDescent="0.25">
      <c r="W799">
        <v>65.2</v>
      </c>
      <c r="X799">
        <v>73.957979111613071</v>
      </c>
      <c r="Y799">
        <v>-8.7579791116130679</v>
      </c>
      <c r="Z799">
        <v>-8.8489289986181774</v>
      </c>
      <c r="AA799">
        <v>1.0278067212350346E-2</v>
      </c>
      <c r="AB799">
        <v>-2.3886808496375118</v>
      </c>
      <c r="AC799">
        <v>5.3866880930192275E-3</v>
      </c>
      <c r="AD799">
        <v>-4.7140240828996732E-2</v>
      </c>
      <c r="AE799">
        <v>-2.6684998418414815E-2</v>
      </c>
    </row>
    <row r="800" spans="23:31" x14ac:dyDescent="0.25">
      <c r="W800">
        <v>65.099999999999994</v>
      </c>
      <c r="X800">
        <v>73.670505738763225</v>
      </c>
      <c r="Y800">
        <v>-8.5705057387632309</v>
      </c>
      <c r="Z800">
        <v>-8.660875304122257</v>
      </c>
      <c r="AA800">
        <v>1.0434230050167758E-2</v>
      </c>
      <c r="AB800">
        <v>-2.3377331641090193</v>
      </c>
      <c r="AC800">
        <v>5.238572204194031E-3</v>
      </c>
      <c r="AD800">
        <v>-4.7140240828996732E-2</v>
      </c>
      <c r="AE800">
        <v>-2.5017398047186896E-2</v>
      </c>
    </row>
    <row r="801" spans="23:31" x14ac:dyDescent="0.25">
      <c r="W801">
        <v>65</v>
      </c>
      <c r="X801">
        <v>70.755972002579838</v>
      </c>
      <c r="Y801">
        <v>-5.7559720025798384</v>
      </c>
      <c r="Z801">
        <v>-5.8302542194591211</v>
      </c>
      <c r="AA801">
        <v>1.2740819539457077E-2</v>
      </c>
      <c r="AB801">
        <v>-1.5718601449694718</v>
      </c>
      <c r="AC801">
        <v>2.8986868690205219E-3</v>
      </c>
      <c r="AD801">
        <v>-4.7140240828996732E-2</v>
      </c>
      <c r="AE801">
        <v>-2.4824782671488094E-2</v>
      </c>
    </row>
    <row r="802" spans="23:31" x14ac:dyDescent="0.25">
      <c r="W802">
        <v>65</v>
      </c>
      <c r="X802">
        <v>69.927225407792577</v>
      </c>
      <c r="Y802">
        <v>-4.9272254077925766</v>
      </c>
      <c r="Z802">
        <v>-4.9625038922680176</v>
      </c>
      <c r="AA802">
        <v>7.1090089280142193E-3</v>
      </c>
      <c r="AB802">
        <v>-1.3417217671437573</v>
      </c>
      <c r="AC802">
        <v>1.1717628783183725E-3</v>
      </c>
      <c r="AD802">
        <v>-4.7140240828996732E-2</v>
      </c>
      <c r="AE802">
        <v>-2.4161499244616146E-2</v>
      </c>
    </row>
    <row r="803" spans="23:31" x14ac:dyDescent="0.25">
      <c r="W803">
        <v>64.900000000000006</v>
      </c>
      <c r="X803">
        <v>63.779031719162802</v>
      </c>
      <c r="Y803">
        <v>1.1209682808372037</v>
      </c>
      <c r="Z803">
        <v>1.1538640426971583</v>
      </c>
      <c r="AA803">
        <v>2.8509218281089765E-2</v>
      </c>
      <c r="AB803">
        <v>0.30859209859559833</v>
      </c>
      <c r="AC803">
        <v>2.540525414456239E-4</v>
      </c>
      <c r="AD803">
        <v>-4.7140240828996732E-2</v>
      </c>
      <c r="AE803">
        <v>-2.2049737330661439E-2</v>
      </c>
    </row>
    <row r="804" spans="23:31" x14ac:dyDescent="0.25">
      <c r="W804">
        <v>64.8</v>
      </c>
      <c r="X804">
        <v>63.501350370668902</v>
      </c>
      <c r="Y804">
        <v>1.298649629331095</v>
      </c>
      <c r="Z804">
        <v>1.3372644299448311</v>
      </c>
      <c r="AA804">
        <v>2.8875964804755842E-2</v>
      </c>
      <c r="AB804">
        <v>0.35757361440880181</v>
      </c>
      <c r="AC804">
        <v>3.4562093800241417E-4</v>
      </c>
      <c r="AD804">
        <v>-4.7140240828996732E-2</v>
      </c>
      <c r="AE804">
        <v>-2.1349931839956669E-2</v>
      </c>
    </row>
    <row r="805" spans="23:31" x14ac:dyDescent="0.25">
      <c r="W805">
        <v>64.7</v>
      </c>
      <c r="X805">
        <v>59.747652881629243</v>
      </c>
      <c r="Y805">
        <v>4.9523471183707599</v>
      </c>
      <c r="Z805">
        <v>5.0990248023417593</v>
      </c>
      <c r="AA805">
        <v>2.8765830655234088E-2</v>
      </c>
      <c r="AB805">
        <v>1.3635150032518892</v>
      </c>
      <c r="AC805">
        <v>5.0058764110349502E-3</v>
      </c>
      <c r="AD805">
        <v>-4.7140240828996732E-2</v>
      </c>
      <c r="AE805">
        <v>-2.0208539743627754E-2</v>
      </c>
    </row>
    <row r="806" spans="23:31" x14ac:dyDescent="0.25">
      <c r="W806">
        <v>64.599999999999994</v>
      </c>
      <c r="X806">
        <v>63.632920426394328</v>
      </c>
      <c r="Y806">
        <v>0.9670795736056661</v>
      </c>
      <c r="Z806">
        <v>0.991680551869635</v>
      </c>
      <c r="AA806">
        <v>2.4807361823911352E-2</v>
      </c>
      <c r="AB806">
        <v>0.26572219013037024</v>
      </c>
      <c r="AC806">
        <v>1.6328757089505567E-4</v>
      </c>
      <c r="AD806">
        <v>-4.7140240828996732E-2</v>
      </c>
      <c r="AE806">
        <v>-2.0105671664684879E-2</v>
      </c>
    </row>
    <row r="807" spans="23:31" x14ac:dyDescent="0.25">
      <c r="W807">
        <v>64.3</v>
      </c>
      <c r="X807">
        <v>62.517388289239122</v>
      </c>
      <c r="Y807">
        <v>1.7826117107608752</v>
      </c>
      <c r="Z807">
        <v>1.8235235306291742</v>
      </c>
      <c r="AA807">
        <v>2.2435586479207584E-2</v>
      </c>
      <c r="AB807">
        <v>0.48920950170377309</v>
      </c>
      <c r="AC807">
        <v>4.9933168523755734E-4</v>
      </c>
      <c r="AD807">
        <v>-4.7140240828996732E-2</v>
      </c>
      <c r="AE807">
        <v>-1.9890818354838732E-2</v>
      </c>
    </row>
    <row r="808" spans="23:31" x14ac:dyDescent="0.25">
      <c r="W808">
        <v>64.099999999999994</v>
      </c>
      <c r="X808">
        <v>60.347589365529814</v>
      </c>
      <c r="Y808">
        <v>3.7524106344701806</v>
      </c>
      <c r="Z808">
        <v>3.8506176931292018</v>
      </c>
      <c r="AA808">
        <v>2.5504235030720863E-2</v>
      </c>
      <c r="AB808">
        <v>1.0314096730071776</v>
      </c>
      <c r="AC808">
        <v>2.5310577878644614E-3</v>
      </c>
      <c r="AD808">
        <v>-4.7140240828996732E-2</v>
      </c>
      <c r="AE808">
        <v>-1.9523475543377362E-2</v>
      </c>
    </row>
    <row r="809" spans="23:31" x14ac:dyDescent="0.25">
      <c r="W809">
        <v>74.400000000000006</v>
      </c>
      <c r="X809">
        <v>75.802551420148745</v>
      </c>
      <c r="Y809">
        <v>-1.4025514201487397</v>
      </c>
      <c r="Z809">
        <v>-1.4182701864150999</v>
      </c>
      <c r="AA809">
        <v>1.1083054848728961E-2</v>
      </c>
      <c r="AB809">
        <v>-0.38269228144182438</v>
      </c>
      <c r="AC809">
        <v>1.4921290467366738E-4</v>
      </c>
      <c r="AD809">
        <v>-2.7365033500434788E-2</v>
      </c>
      <c r="AE809">
        <v>-1.9320432380441319E-2</v>
      </c>
    </row>
    <row r="810" spans="23:31" x14ac:dyDescent="0.25">
      <c r="W810">
        <v>74.099999999999994</v>
      </c>
      <c r="X810">
        <v>73.479441848163844</v>
      </c>
      <c r="Y810">
        <v>0.62055815183614982</v>
      </c>
      <c r="Z810">
        <v>0.62541879952063084</v>
      </c>
      <c r="AA810">
        <v>7.771828554244126E-3</v>
      </c>
      <c r="AB810">
        <v>0.16903923878242474</v>
      </c>
      <c r="AC810">
        <v>2.034670224515029E-5</v>
      </c>
      <c r="AD810">
        <v>-2.7365033500434788E-2</v>
      </c>
      <c r="AE810">
        <v>-1.8826380227157494E-2</v>
      </c>
    </row>
    <row r="811" spans="23:31" x14ac:dyDescent="0.25">
      <c r="W811">
        <v>73.8</v>
      </c>
      <c r="X811">
        <v>76.057249146110578</v>
      </c>
      <c r="Y811">
        <v>-2.2572491461105813</v>
      </c>
      <c r="Z811">
        <v>-2.2628755325469001</v>
      </c>
      <c r="AA811">
        <v>2.4863879410907861E-3</v>
      </c>
      <c r="AB811">
        <v>-0.61324060304890204</v>
      </c>
      <c r="AC811">
        <v>8.5215614279470867E-5</v>
      </c>
      <c r="AD811">
        <v>-2.7365033500434788E-2</v>
      </c>
      <c r="AE811">
        <v>-1.8006585698262856E-2</v>
      </c>
    </row>
    <row r="812" spans="23:31" x14ac:dyDescent="0.25">
      <c r="W812">
        <v>73.599999999999994</v>
      </c>
      <c r="X812">
        <v>75.621723968465901</v>
      </c>
      <c r="Y812">
        <v>-2.0217239684659063</v>
      </c>
      <c r="Z812">
        <v>-2.0284372871262235</v>
      </c>
      <c r="AA812">
        <v>3.3096012890939577E-3</v>
      </c>
      <c r="AB812">
        <v>-0.5494808262065678</v>
      </c>
      <c r="AC812">
        <v>9.114394082623081E-5</v>
      </c>
      <c r="AD812">
        <v>-2.7365033500434788E-2</v>
      </c>
      <c r="AE812">
        <v>-1.6727117823621275E-2</v>
      </c>
    </row>
    <row r="813" spans="23:31" x14ac:dyDescent="0.25">
      <c r="W813">
        <v>72.8</v>
      </c>
      <c r="X813">
        <v>79.134581767901679</v>
      </c>
      <c r="Y813">
        <v>-6.3345817679016818</v>
      </c>
      <c r="Z813">
        <v>-6.3520637001530105</v>
      </c>
      <c r="AA813">
        <v>2.7521657647909203E-3</v>
      </c>
      <c r="AB813">
        <v>-1.7211836644448903</v>
      </c>
      <c r="AC813">
        <v>7.4324711551455912E-4</v>
      </c>
      <c r="AD813">
        <v>-2.1282865457297767E-2</v>
      </c>
      <c r="AE813">
        <v>-1.6154216925871344E-2</v>
      </c>
    </row>
    <row r="814" spans="23:31" x14ac:dyDescent="0.25">
      <c r="W814">
        <v>72.599999999999994</v>
      </c>
      <c r="X814">
        <v>76.614872861086468</v>
      </c>
      <c r="Y814">
        <v>-4.0148728610864737</v>
      </c>
      <c r="Z814">
        <v>-4.0268023393133063</v>
      </c>
      <c r="AA814">
        <v>2.9625189471964566E-3</v>
      </c>
      <c r="AB814">
        <v>-1.0910053359485272</v>
      </c>
      <c r="AC814">
        <v>3.2152201577257338E-4</v>
      </c>
      <c r="AD814">
        <v>-2.1282865457297767E-2</v>
      </c>
      <c r="AE814">
        <v>-1.5456720818166049E-2</v>
      </c>
    </row>
    <row r="815" spans="23:31" x14ac:dyDescent="0.25">
      <c r="W815">
        <v>71.900000000000006</v>
      </c>
      <c r="X815">
        <v>75.609937645130429</v>
      </c>
      <c r="Y815">
        <v>-3.7099376451304238</v>
      </c>
      <c r="Z815">
        <v>-3.7261821573331275</v>
      </c>
      <c r="AA815">
        <v>4.3595593336032239E-3</v>
      </c>
      <c r="AB815">
        <v>-1.0088489959656239</v>
      </c>
      <c r="AC815">
        <v>4.0513495109632277E-4</v>
      </c>
      <c r="AD815">
        <v>-2.1282865457297767E-2</v>
      </c>
      <c r="AE815">
        <v>-1.5051663912342948E-2</v>
      </c>
    </row>
    <row r="816" spans="23:31" x14ac:dyDescent="0.25">
      <c r="W816">
        <v>78</v>
      </c>
      <c r="X816">
        <v>75.02075712003527</v>
      </c>
      <c r="Y816">
        <v>2.9792428799647297</v>
      </c>
      <c r="Z816">
        <v>2.9937391897305616</v>
      </c>
      <c r="AA816">
        <v>4.8422086384696762E-3</v>
      </c>
      <c r="AB816">
        <v>0.8103464919218909</v>
      </c>
      <c r="AC816">
        <v>2.9046939364773226E-4</v>
      </c>
      <c r="AD816">
        <v>-2.1282865457297767E-2</v>
      </c>
      <c r="AE816">
        <v>-1.4976801387739783E-2</v>
      </c>
    </row>
    <row r="817" spans="23:31" x14ac:dyDescent="0.25">
      <c r="W817">
        <v>75</v>
      </c>
      <c r="X817">
        <v>75.397682761584363</v>
      </c>
      <c r="Y817">
        <v>-0.39768276158436322</v>
      </c>
      <c r="Z817">
        <v>-0.39912645590483464</v>
      </c>
      <c r="AA817">
        <v>3.6171351187405843E-3</v>
      </c>
      <c r="AB817">
        <v>-0.10810218219288935</v>
      </c>
      <c r="AC817">
        <v>3.8566898830252455E-6</v>
      </c>
      <c r="AD817">
        <v>-2.1282865457297767E-2</v>
      </c>
      <c r="AE817">
        <v>-1.4365639387807541E-2</v>
      </c>
    </row>
    <row r="818" spans="23:31" x14ac:dyDescent="0.25">
      <c r="W818">
        <v>76</v>
      </c>
      <c r="X818">
        <v>74.790293444548112</v>
      </c>
      <c r="Y818">
        <v>1.2097065554518878</v>
      </c>
      <c r="Z818">
        <v>1.2142185763385953</v>
      </c>
      <c r="AA818">
        <v>3.7159873639124549E-3</v>
      </c>
      <c r="AB818">
        <v>0.32885108077699099</v>
      </c>
      <c r="AC818">
        <v>3.6668819537572688E-5</v>
      </c>
      <c r="AD818">
        <v>-2.1282865457297767E-2</v>
      </c>
      <c r="AE818">
        <v>-1.1968063533955931E-2</v>
      </c>
    </row>
    <row r="819" spans="23:31" x14ac:dyDescent="0.25">
      <c r="W819">
        <v>71</v>
      </c>
      <c r="X819">
        <v>77.801832215130602</v>
      </c>
      <c r="Y819">
        <v>-6.8018322151306023</v>
      </c>
      <c r="Z819">
        <v>-6.8220743150632899</v>
      </c>
      <c r="AA819">
        <v>2.9671473803787956E-3</v>
      </c>
      <c r="AB819">
        <v>-1.8483405881584163</v>
      </c>
      <c r="AC819">
        <v>9.2427448750431198E-4</v>
      </c>
      <c r="AD819">
        <v>-2.1282865457297767E-2</v>
      </c>
      <c r="AE819">
        <v>-1.1656879356380358E-2</v>
      </c>
    </row>
    <row r="820" spans="23:31" x14ac:dyDescent="0.25">
      <c r="W820">
        <v>78</v>
      </c>
      <c r="X820">
        <v>77.490051681756668</v>
      </c>
      <c r="Y820">
        <v>0.50994831824333176</v>
      </c>
      <c r="Z820">
        <v>0.51119788006263889</v>
      </c>
      <c r="AA820">
        <v>2.4443798928832803E-3</v>
      </c>
      <c r="AB820">
        <v>0.13853784380784812</v>
      </c>
      <c r="AC820">
        <v>4.2753900854766315E-6</v>
      </c>
      <c r="AD820">
        <v>-2.1282865457297767E-2</v>
      </c>
      <c r="AE820">
        <v>-1.0931586360476933E-2</v>
      </c>
    </row>
    <row r="821" spans="23:31" x14ac:dyDescent="0.25">
      <c r="W821">
        <v>73</v>
      </c>
      <c r="X821">
        <v>73.5268680801816</v>
      </c>
      <c r="Y821">
        <v>-0.52686808018160036</v>
      </c>
      <c r="Z821">
        <v>-0.5281443685602909</v>
      </c>
      <c r="AA821">
        <v>2.4165520919287283E-3</v>
      </c>
      <c r="AB821">
        <v>-0.14313244524828625</v>
      </c>
      <c r="AC821">
        <v>4.5115982867456406E-6</v>
      </c>
      <c r="AD821">
        <v>-2.1282865457297767E-2</v>
      </c>
      <c r="AE821">
        <v>-1.036587263386096E-2</v>
      </c>
    </row>
    <row r="822" spans="23:31" x14ac:dyDescent="0.25">
      <c r="W822">
        <v>69.900000000000006</v>
      </c>
      <c r="X822">
        <v>72.653060905485518</v>
      </c>
      <c r="Y822">
        <v>-2.753060905485512</v>
      </c>
      <c r="Z822">
        <v>-2.7592998030009568</v>
      </c>
      <c r="AA822">
        <v>2.2610437287945246E-3</v>
      </c>
      <c r="AB822">
        <v>-0.74785633120227968</v>
      </c>
      <c r="AC822">
        <v>1.1522207618182441E-4</v>
      </c>
      <c r="AD822">
        <v>-2.1282865457297767E-2</v>
      </c>
      <c r="AE822">
        <v>-8.6829481826459567E-3</v>
      </c>
    </row>
    <row r="823" spans="23:31" x14ac:dyDescent="0.25">
      <c r="W823">
        <v>71</v>
      </c>
      <c r="X823">
        <v>72.141745908963358</v>
      </c>
      <c r="Y823">
        <v>-1.1417459089633581</v>
      </c>
      <c r="Z823">
        <v>-1.1441001718058033</v>
      </c>
      <c r="AA823">
        <v>2.0577418835047616E-3</v>
      </c>
      <c r="AB823">
        <v>-0.31011843061260735</v>
      </c>
      <c r="AC823">
        <v>1.8028016790503809E-5</v>
      </c>
      <c r="AD823">
        <v>-2.1282865457297767E-2</v>
      </c>
      <c r="AE823">
        <v>-3.4551661129206589E-3</v>
      </c>
    </row>
    <row r="824" spans="23:31" x14ac:dyDescent="0.25">
      <c r="W824">
        <v>74.8</v>
      </c>
      <c r="X824">
        <v>74.980076816102894</v>
      </c>
      <c r="Y824">
        <v>-0.18007681610289694</v>
      </c>
      <c r="Z824">
        <v>-0.18069645446927041</v>
      </c>
      <c r="AA824">
        <v>3.4291672638878845E-3</v>
      </c>
      <c r="AB824">
        <v>-4.8945699247526425E-2</v>
      </c>
      <c r="AC824">
        <v>7.4940551761267542E-7</v>
      </c>
      <c r="AD824">
        <v>-4.5602855597810616E-3</v>
      </c>
      <c r="AE824">
        <v>-3.3150625488913196E-4</v>
      </c>
    </row>
    <row r="825" spans="23:31" x14ac:dyDescent="0.25">
      <c r="W825">
        <v>74.900000000000006</v>
      </c>
      <c r="X825">
        <v>74.991330230862886</v>
      </c>
      <c r="Y825">
        <v>-9.1330230862880057E-2</v>
      </c>
      <c r="Z825">
        <v>-9.1650473873812643E-2</v>
      </c>
      <c r="AA825">
        <v>3.4941773609170634E-3</v>
      </c>
      <c r="AB825">
        <v>-2.4824782671488094E-2</v>
      </c>
      <c r="AC825">
        <v>1.9644606325760996E-7</v>
      </c>
      <c r="AD825">
        <v>-4.5602855597810616E-3</v>
      </c>
      <c r="AE825">
        <v>-6.9582574305635531E-5</v>
      </c>
    </row>
    <row r="826" spans="23:31" x14ac:dyDescent="0.25">
      <c r="W826">
        <v>75</v>
      </c>
      <c r="X826">
        <v>75.078552927004566</v>
      </c>
      <c r="Y826">
        <v>-7.8552927004565731E-2</v>
      </c>
      <c r="Z826">
        <v>-7.8815016990915865E-2</v>
      </c>
      <c r="AA826">
        <v>3.3253813341460616E-3</v>
      </c>
      <c r="AB826">
        <v>-2.1349931839956669E-2</v>
      </c>
      <c r="AC826">
        <v>1.3825739081005681E-7</v>
      </c>
      <c r="AD826">
        <v>-4.5602855597810616E-3</v>
      </c>
      <c r="AE826">
        <v>1.3450479824951103E-3</v>
      </c>
    </row>
    <row r="827" spans="23:31" x14ac:dyDescent="0.25">
      <c r="W827">
        <v>75</v>
      </c>
      <c r="X827">
        <v>75.236499340054252</v>
      </c>
      <c r="Y827">
        <v>-0.23649934005425166</v>
      </c>
      <c r="Z827">
        <v>-0.23725345258816333</v>
      </c>
      <c r="AA827">
        <v>3.1785102626784791E-3</v>
      </c>
      <c r="AB827">
        <v>-6.427351586822537E-2</v>
      </c>
      <c r="AC827">
        <v>1.1975058816884563E-6</v>
      </c>
      <c r="AD827">
        <v>-4.5602855597810616E-3</v>
      </c>
      <c r="AE827">
        <v>1.5928107895335358E-3</v>
      </c>
    </row>
    <row r="828" spans="23:31" x14ac:dyDescent="0.25">
      <c r="W828">
        <v>74.900000000000006</v>
      </c>
      <c r="X828">
        <v>75.218605593555694</v>
      </c>
      <c r="Y828">
        <v>-0.31860559355568796</v>
      </c>
      <c r="Z828">
        <v>-0.31959533458608291</v>
      </c>
      <c r="AA828">
        <v>3.0968569415267466E-3</v>
      </c>
      <c r="AB828">
        <v>-8.6584017569531255E-2</v>
      </c>
      <c r="AC828">
        <v>2.1171467414336606E-6</v>
      </c>
      <c r="AD828">
        <v>-4.5602855597810616E-3</v>
      </c>
      <c r="AE828">
        <v>1.954052728225839E-3</v>
      </c>
    </row>
    <row r="829" spans="23:31" x14ac:dyDescent="0.25">
      <c r="W829">
        <v>74.7</v>
      </c>
      <c r="X829">
        <v>74.674576195044082</v>
      </c>
      <c r="Y829">
        <v>2.5423804955920559E-2</v>
      </c>
      <c r="Z829">
        <v>2.5505592160584456E-2</v>
      </c>
      <c r="AA829">
        <v>3.2066381421970249E-3</v>
      </c>
      <c r="AB829">
        <v>6.9095346575737127E-3</v>
      </c>
      <c r="AC829">
        <v>1.3962067423238506E-8</v>
      </c>
      <c r="AD829">
        <v>-4.5602855597810616E-3</v>
      </c>
      <c r="AE829">
        <v>2.1193029195690849E-3</v>
      </c>
    </row>
    <row r="830" spans="23:31" x14ac:dyDescent="0.25">
      <c r="W830">
        <v>74.5</v>
      </c>
      <c r="X830">
        <v>74.559423930191159</v>
      </c>
      <c r="Y830">
        <v>-5.9423930191158547E-2</v>
      </c>
      <c r="Z830">
        <v>-5.9647027978684264E-2</v>
      </c>
      <c r="AA830">
        <v>3.7403001470313994E-3</v>
      </c>
      <c r="AB830">
        <v>-1.6154216925871344E-2</v>
      </c>
      <c r="AC830">
        <v>8.906622127069592E-8</v>
      </c>
      <c r="AD830">
        <v>-4.5602855597810616E-3</v>
      </c>
      <c r="AE830">
        <v>2.9880049455878665E-3</v>
      </c>
    </row>
    <row r="831" spans="23:31" x14ac:dyDescent="0.25">
      <c r="W831">
        <v>74.400000000000006</v>
      </c>
      <c r="X831">
        <v>72.662300969306557</v>
      </c>
      <c r="Y831">
        <v>1.7376990306934488</v>
      </c>
      <c r="Z831">
        <v>1.7615071307371295</v>
      </c>
      <c r="AA831">
        <v>1.3515755700474415E-2</v>
      </c>
      <c r="AB831">
        <v>0.47472303143413264</v>
      </c>
      <c r="AC831">
        <v>2.8069721214840914E-4</v>
      </c>
      <c r="AD831">
        <v>-4.5602855597810616E-3</v>
      </c>
      <c r="AE831">
        <v>4.8735427034791792E-3</v>
      </c>
    </row>
    <row r="832" spans="23:31" x14ac:dyDescent="0.25">
      <c r="W832">
        <v>74.099999999999994</v>
      </c>
      <c r="X832">
        <v>76.436269473878838</v>
      </c>
      <c r="Y832">
        <v>-2.3362694738788434</v>
      </c>
      <c r="Z832">
        <v>-2.3463900708761827</v>
      </c>
      <c r="AA832">
        <v>4.3132627958849448E-3</v>
      </c>
      <c r="AB832">
        <v>-0.6352905472640954</v>
      </c>
      <c r="AC832">
        <v>1.5894076487893958E-4</v>
      </c>
      <c r="AD832">
        <v>-4.5602855597810616E-3</v>
      </c>
      <c r="AE832">
        <v>5.3272073601495608E-3</v>
      </c>
    </row>
    <row r="833" spans="23:31" x14ac:dyDescent="0.25">
      <c r="W833">
        <v>73.900000000000006</v>
      </c>
      <c r="X833">
        <v>66.898095973297757</v>
      </c>
      <c r="Y833">
        <v>7.001904026702249</v>
      </c>
      <c r="Z833">
        <v>7.2243010107025469</v>
      </c>
      <c r="AA833">
        <v>3.0784567762448558E-2</v>
      </c>
      <c r="AB833">
        <v>1.9298200466540214</v>
      </c>
      <c r="AC833">
        <v>1.0753595130849246E-2</v>
      </c>
      <c r="AD833">
        <v>-4.5602855597810616E-3</v>
      </c>
      <c r="AE833">
        <v>6.4784807441778478E-3</v>
      </c>
    </row>
    <row r="834" spans="23:31" x14ac:dyDescent="0.25">
      <c r="W834">
        <v>73.7</v>
      </c>
      <c r="X834">
        <v>67.270150014028644</v>
      </c>
      <c r="Y834">
        <v>6.4298499859713587</v>
      </c>
      <c r="Z834">
        <v>6.6494257629151434</v>
      </c>
      <c r="AA834">
        <v>3.3021765303162066E-2</v>
      </c>
      <c r="AB834">
        <v>1.7742030078439455</v>
      </c>
      <c r="AC834">
        <v>9.772316512474833E-3</v>
      </c>
      <c r="AD834">
        <v>1.0640830227304372E-2</v>
      </c>
      <c r="AE834">
        <v>6.9095346575737127E-3</v>
      </c>
    </row>
    <row r="835" spans="23:31" x14ac:dyDescent="0.25">
      <c r="W835">
        <v>73.5</v>
      </c>
      <c r="X835">
        <v>69.763566183751436</v>
      </c>
      <c r="Y835">
        <v>3.7364338162485637</v>
      </c>
      <c r="Z835">
        <v>3.8695217829665296</v>
      </c>
      <c r="AA835">
        <v>3.4393905547659365E-2</v>
      </c>
      <c r="AB835">
        <v>1.0317348844506129</v>
      </c>
      <c r="AC835">
        <v>3.4468710845245456E-3</v>
      </c>
      <c r="AD835">
        <v>1.0640830227304372E-2</v>
      </c>
      <c r="AE835">
        <v>7.1102932137669687E-3</v>
      </c>
    </row>
    <row r="836" spans="23:31" x14ac:dyDescent="0.25">
      <c r="W836">
        <v>73.2</v>
      </c>
      <c r="X836">
        <v>69.398206737330042</v>
      </c>
      <c r="Y836">
        <v>3.8017932626699604</v>
      </c>
      <c r="Z836">
        <v>3.9543439324226881</v>
      </c>
      <c r="AA836">
        <v>3.8577997351701893E-2</v>
      </c>
      <c r="AB836">
        <v>1.0520643107810679</v>
      </c>
      <c r="AC836">
        <v>4.0375462792117045E-3</v>
      </c>
      <c r="AD836">
        <v>1.0640830227304372E-2</v>
      </c>
      <c r="AE836">
        <v>9.2521907085520438E-3</v>
      </c>
    </row>
    <row r="837" spans="23:31" x14ac:dyDescent="0.25">
      <c r="W837">
        <v>73</v>
      </c>
      <c r="X837">
        <v>68.022816231018155</v>
      </c>
      <c r="Y837">
        <v>4.9771837689818454</v>
      </c>
      <c r="Z837">
        <v>5.2048585199245849</v>
      </c>
      <c r="AA837">
        <v>4.3742735767203347E-2</v>
      </c>
      <c r="AB837">
        <v>1.3810427507748468</v>
      </c>
      <c r="AC837">
        <v>7.9314529799019273E-3</v>
      </c>
      <c r="AD837">
        <v>1.0640830227304372E-2</v>
      </c>
      <c r="AE837">
        <v>1.4935624636892604E-2</v>
      </c>
    </row>
    <row r="838" spans="23:31" x14ac:dyDescent="0.25">
      <c r="W838">
        <v>72.7</v>
      </c>
      <c r="X838">
        <v>67.63723595372204</v>
      </c>
      <c r="Y838">
        <v>5.0627640462779624</v>
      </c>
      <c r="Z838">
        <v>5.2478842149557607</v>
      </c>
      <c r="AA838">
        <v>3.5275200651384134E-2</v>
      </c>
      <c r="AB838">
        <v>1.3986105050610047</v>
      </c>
      <c r="AC838">
        <v>6.5022990101541419E-3</v>
      </c>
      <c r="AD838">
        <v>1.0640830227304372E-2</v>
      </c>
      <c r="AE838">
        <v>1.5761550473705543E-2</v>
      </c>
    </row>
    <row r="839" spans="23:31" x14ac:dyDescent="0.25">
      <c r="W839">
        <v>52.1</v>
      </c>
      <c r="X839">
        <v>56.833891181159146</v>
      </c>
      <c r="Y839">
        <v>-4.7338911811591444</v>
      </c>
      <c r="Z839">
        <v>-4.7812218538031175</v>
      </c>
      <c r="AA839">
        <v>9.8992839259957888E-3</v>
      </c>
      <c r="AB839">
        <v>-1.290890495530038</v>
      </c>
      <c r="AC839">
        <v>1.5146438552856964E-3</v>
      </c>
      <c r="AD839">
        <v>1.0640830227304372E-2</v>
      </c>
      <c r="AE839">
        <v>1.6237258624885963E-2</v>
      </c>
    </row>
    <row r="840" spans="23:31" x14ac:dyDescent="0.25">
      <c r="W840">
        <v>52.1</v>
      </c>
      <c r="X840">
        <v>57.704179945667661</v>
      </c>
      <c r="Y840">
        <v>-5.60417994566766</v>
      </c>
      <c r="Z840">
        <v>-5.6735508030825059</v>
      </c>
      <c r="AA840">
        <v>1.2227061997427466E-2</v>
      </c>
      <c r="AB840">
        <v>-1.5300102133501603</v>
      </c>
      <c r="AC840">
        <v>2.6342741204071788E-3</v>
      </c>
      <c r="AD840">
        <v>1.0640830227304372E-2</v>
      </c>
      <c r="AE840">
        <v>2.0699096688854109E-2</v>
      </c>
    </row>
    <row r="841" spans="23:31" x14ac:dyDescent="0.25">
      <c r="W841">
        <v>52.2</v>
      </c>
      <c r="X841">
        <v>56.881881727160462</v>
      </c>
      <c r="Y841">
        <v>-4.6818817271604587</v>
      </c>
      <c r="Z841">
        <v>-4.742076715814207</v>
      </c>
      <c r="AA841">
        <v>1.2693803213474755E-2</v>
      </c>
      <c r="AB841">
        <v>-1.2785135261153304</v>
      </c>
      <c r="AC841">
        <v>1.9105476224023645E-3</v>
      </c>
      <c r="AD841">
        <v>1.0640830227304372E-2</v>
      </c>
      <c r="AE841">
        <v>2.235300806443866E-2</v>
      </c>
    </row>
    <row r="842" spans="23:31" x14ac:dyDescent="0.25">
      <c r="W842">
        <v>52.3</v>
      </c>
      <c r="X842">
        <v>64.302428763954481</v>
      </c>
      <c r="Y842">
        <v>-12.002428763954484</v>
      </c>
      <c r="Z842">
        <v>-12.153922465619374</v>
      </c>
      <c r="AA842">
        <v>1.2464593393073842E-2</v>
      </c>
      <c r="AB842">
        <v>-3.2772050793457939</v>
      </c>
      <c r="AC842">
        <v>1.2323668112439777E-2</v>
      </c>
      <c r="AD842">
        <v>1.0640830227304372E-2</v>
      </c>
      <c r="AE842">
        <v>2.3662345870167426E-2</v>
      </c>
    </row>
    <row r="843" spans="23:31" x14ac:dyDescent="0.25">
      <c r="W843">
        <v>51.1</v>
      </c>
      <c r="X843">
        <v>54.46322623956636</v>
      </c>
      <c r="Y843">
        <v>-3.3632262395663588</v>
      </c>
      <c r="Z843">
        <v>-3.3940508999610017</v>
      </c>
      <c r="AA843">
        <v>9.0819676260601705E-3</v>
      </c>
      <c r="AB843">
        <v>-0.91674391699301783</v>
      </c>
      <c r="AC843">
        <v>7.0023788947659485E-4</v>
      </c>
      <c r="AD843">
        <v>1.0640830227304372E-2</v>
      </c>
      <c r="AE843">
        <v>2.416209627951222E-2</v>
      </c>
    </row>
    <row r="844" spans="23:31" x14ac:dyDescent="0.25">
      <c r="W844">
        <v>49.4</v>
      </c>
      <c r="X844">
        <v>51.904401903260364</v>
      </c>
      <c r="Y844">
        <v>-2.5044019032603657</v>
      </c>
      <c r="Z844">
        <v>-2.530860868174301</v>
      </c>
      <c r="AA844">
        <v>1.0454531596998244E-2</v>
      </c>
      <c r="AB844">
        <v>-0.68311994886636551</v>
      </c>
      <c r="AC844">
        <v>4.4819816709549469E-4</v>
      </c>
      <c r="AD844">
        <v>1.0640830227304372E-2</v>
      </c>
      <c r="AE844">
        <v>2.5567234303114479E-2</v>
      </c>
    </row>
    <row r="845" spans="23:31" x14ac:dyDescent="0.25">
      <c r="W845">
        <v>47.8</v>
      </c>
      <c r="X845">
        <v>47.117331339450587</v>
      </c>
      <c r="Y845">
        <v>0.68266866054941033</v>
      </c>
      <c r="Z845">
        <v>0.69262457962135215</v>
      </c>
      <c r="AA845">
        <v>1.4374192549423584E-2</v>
      </c>
      <c r="AB845">
        <v>0.18657985569065622</v>
      </c>
      <c r="AC845">
        <v>4.6153879537364093E-5</v>
      </c>
      <c r="AD845">
        <v>2.7365033500434649E-2</v>
      </c>
      <c r="AE845">
        <v>2.5758278818342858E-2</v>
      </c>
    </row>
    <row r="846" spans="23:31" x14ac:dyDescent="0.25">
      <c r="W846">
        <v>46.2</v>
      </c>
      <c r="X846">
        <v>44.941607398852256</v>
      </c>
      <c r="Y846">
        <v>1.2583926011477473</v>
      </c>
      <c r="Z846">
        <v>1.2800843231960499</v>
      </c>
      <c r="AA846">
        <v>1.6945541520376885E-2</v>
      </c>
      <c r="AB846">
        <v>0.34438021082778864</v>
      </c>
      <c r="AC846">
        <v>1.8584957175519132E-4</v>
      </c>
      <c r="AD846">
        <v>2.7365033500434649E-2</v>
      </c>
      <c r="AE846">
        <v>2.7914154714470153E-2</v>
      </c>
    </row>
    <row r="847" spans="23:31" x14ac:dyDescent="0.25">
      <c r="W847">
        <v>45.3</v>
      </c>
      <c r="X847">
        <v>42.7627524766867</v>
      </c>
      <c r="Y847">
        <v>2.5372475233132974</v>
      </c>
      <c r="Z847">
        <v>2.5907063976830855</v>
      </c>
      <c r="AA847">
        <v>2.0634864073211991E-2</v>
      </c>
      <c r="AB847">
        <v>0.69566689589390673</v>
      </c>
      <c r="AC847">
        <v>9.2697273937020447E-4</v>
      </c>
      <c r="AD847">
        <v>2.7365033500434649E-2</v>
      </c>
      <c r="AE847">
        <v>2.8439590881750246E-2</v>
      </c>
    </row>
    <row r="848" spans="23:31" x14ac:dyDescent="0.25">
      <c r="W848">
        <v>44.5</v>
      </c>
      <c r="X848">
        <v>41.985610028251635</v>
      </c>
      <c r="Y848">
        <v>2.5143899717483649</v>
      </c>
      <c r="Z848">
        <v>2.570203473804817</v>
      </c>
      <c r="AA848">
        <v>2.1715596693140389E-2</v>
      </c>
      <c r="AB848">
        <v>0.68978046558679973</v>
      </c>
      <c r="AC848">
        <v>9.6014259012064005E-4</v>
      </c>
      <c r="AD848">
        <v>2.7365033500434649E-2</v>
      </c>
      <c r="AE848">
        <v>2.957579102952955E-2</v>
      </c>
    </row>
    <row r="849" spans="23:31" x14ac:dyDescent="0.25">
      <c r="W849">
        <v>44.8</v>
      </c>
      <c r="X849">
        <v>40.640932444317087</v>
      </c>
      <c r="Y849">
        <v>4.1590675556829098</v>
      </c>
      <c r="Z849">
        <v>4.2769921376950393</v>
      </c>
      <c r="AA849">
        <v>2.7571849144357639E-2</v>
      </c>
      <c r="AB849">
        <v>1.1444004853228738</v>
      </c>
      <c r="AC849">
        <v>3.375761473048796E-3</v>
      </c>
      <c r="AD849">
        <v>2.7365033500434649E-2</v>
      </c>
      <c r="AE849">
        <v>3.2174957101033998E-2</v>
      </c>
    </row>
    <row r="850" spans="23:31" x14ac:dyDescent="0.25">
      <c r="W850">
        <v>45.5</v>
      </c>
      <c r="X850">
        <v>41.092683926919634</v>
      </c>
      <c r="Y850">
        <v>4.4073160730803664</v>
      </c>
      <c r="Z850">
        <v>4.52594809109263</v>
      </c>
      <c r="AA850">
        <v>2.6211528639875394E-2</v>
      </c>
      <c r="AB850">
        <v>1.21186070344741</v>
      </c>
      <c r="AC850">
        <v>3.5936885975398525E-3</v>
      </c>
      <c r="AD850">
        <v>2.7365033500434649E-2</v>
      </c>
      <c r="AE850">
        <v>3.4095767244730818E-2</v>
      </c>
    </row>
    <row r="851" spans="23:31" x14ac:dyDescent="0.25">
      <c r="W851">
        <v>58.1</v>
      </c>
      <c r="X851">
        <v>60.384423326287511</v>
      </c>
      <c r="Y851">
        <v>-2.2844233262875093</v>
      </c>
      <c r="Z851">
        <v>-2.3131654648750484</v>
      </c>
      <c r="AA851">
        <v>1.2425457246351065E-2</v>
      </c>
      <c r="AB851">
        <v>-0.62373837279171496</v>
      </c>
      <c r="AC851">
        <v>4.4499459272534612E-4</v>
      </c>
      <c r="AD851">
        <v>2.7365033500434649E-2</v>
      </c>
      <c r="AE851">
        <v>3.6965478724461737E-2</v>
      </c>
    </row>
    <row r="852" spans="23:31" x14ac:dyDescent="0.25">
      <c r="W852">
        <v>61.1</v>
      </c>
      <c r="X852">
        <v>63.47735894908061</v>
      </c>
      <c r="Y852">
        <v>-2.3773589490806089</v>
      </c>
      <c r="Z852">
        <v>-2.3869495911437824</v>
      </c>
      <c r="AA852">
        <v>4.0179491426034913E-3</v>
      </c>
      <c r="AB852">
        <v>-0.64636796410479291</v>
      </c>
      <c r="AC852">
        <v>1.5322156190729504E-4</v>
      </c>
      <c r="AD852">
        <v>2.7365033500434649E-2</v>
      </c>
      <c r="AE852">
        <v>4.0793152550711712E-2</v>
      </c>
    </row>
    <row r="853" spans="23:31" x14ac:dyDescent="0.25">
      <c r="W853">
        <v>67</v>
      </c>
      <c r="X853">
        <v>61.106440899467373</v>
      </c>
      <c r="Y853">
        <v>5.8935591005326273</v>
      </c>
      <c r="Z853">
        <v>5.9593269101457622</v>
      </c>
      <c r="AA853">
        <v>1.1036113743175747E-2</v>
      </c>
      <c r="AB853">
        <v>1.6080451798694395</v>
      </c>
      <c r="AC853">
        <v>2.6232491632784943E-3</v>
      </c>
      <c r="AD853">
        <v>2.7365033500434649E-2</v>
      </c>
      <c r="AE853">
        <v>4.0849474974954496E-2</v>
      </c>
    </row>
    <row r="854" spans="23:31" x14ac:dyDescent="0.25">
      <c r="W854">
        <v>62</v>
      </c>
      <c r="X854">
        <v>62.52054648943836</v>
      </c>
      <c r="Y854">
        <v>-0.52054648943835957</v>
      </c>
      <c r="Z854">
        <v>-0.52385945203742779</v>
      </c>
      <c r="AA854">
        <v>6.3241439782766844E-3</v>
      </c>
      <c r="AB854">
        <v>-0.14169286220580496</v>
      </c>
      <c r="AC854">
        <v>1.1616098132144727E-5</v>
      </c>
      <c r="AD854">
        <v>4.1053957112594373E-2</v>
      </c>
      <c r="AE854">
        <v>4.2278319470464586E-2</v>
      </c>
    </row>
    <row r="855" spans="23:31" x14ac:dyDescent="0.25">
      <c r="W855">
        <v>59.7</v>
      </c>
      <c r="X855">
        <v>60.850794991357446</v>
      </c>
      <c r="Y855">
        <v>-1.1507949913574436</v>
      </c>
      <c r="Z855">
        <v>-1.1687733452400408</v>
      </c>
      <c r="AA855">
        <v>1.5382241523402156E-2</v>
      </c>
      <c r="AB855">
        <v>-0.31468420935810848</v>
      </c>
      <c r="AC855">
        <v>1.4064010380290874E-4</v>
      </c>
      <c r="AD855">
        <v>4.1053957112594373E-2</v>
      </c>
      <c r="AE855">
        <v>4.3278452870558648E-2</v>
      </c>
    </row>
    <row r="856" spans="23:31" x14ac:dyDescent="0.25">
      <c r="W856">
        <v>59.2</v>
      </c>
      <c r="X856">
        <v>62.419247829511697</v>
      </c>
      <c r="Y856">
        <v>-3.2192478295116942</v>
      </c>
      <c r="Z856">
        <v>-3.2587821651467195</v>
      </c>
      <c r="AA856">
        <v>1.2131628820684843E-2</v>
      </c>
      <c r="AB856">
        <v>-0.87885189037186406</v>
      </c>
      <c r="AC856">
        <v>8.6230068419347649E-4</v>
      </c>
      <c r="AD856">
        <v>4.1053957112594373E-2</v>
      </c>
      <c r="AE856">
        <v>4.3706173865360638E-2</v>
      </c>
    </row>
    <row r="857" spans="23:31" x14ac:dyDescent="0.25">
      <c r="W857">
        <v>58.6</v>
      </c>
      <c r="X857">
        <v>61.912200672969149</v>
      </c>
      <c r="Y857">
        <v>-3.3122006729691478</v>
      </c>
      <c r="Z857">
        <v>-3.3365582998409096</v>
      </c>
      <c r="AA857">
        <v>7.3002251670296059E-3</v>
      </c>
      <c r="AB857">
        <v>-0.90202484433664321</v>
      </c>
      <c r="AC857">
        <v>5.4395459021025396E-4</v>
      </c>
      <c r="AD857">
        <v>4.1053957112594373E-2</v>
      </c>
      <c r="AE857">
        <v>4.3966185497086627E-2</v>
      </c>
    </row>
    <row r="858" spans="23:31" x14ac:dyDescent="0.25">
      <c r="W858">
        <v>73.400000000000006</v>
      </c>
      <c r="X858">
        <v>77.266947920835747</v>
      </c>
      <c r="Y858">
        <v>-3.8669479208357416</v>
      </c>
      <c r="Z858">
        <v>-3.8884892766747186</v>
      </c>
      <c r="AA858">
        <v>5.5397750401930609E-3</v>
      </c>
      <c r="AB858">
        <v>-1.0521688361248844</v>
      </c>
      <c r="AC858">
        <v>5.6063847054838207E-4</v>
      </c>
      <c r="AD858">
        <v>4.1053957112594373E-2</v>
      </c>
      <c r="AE858">
        <v>4.5751110998158345E-2</v>
      </c>
    </row>
    <row r="859" spans="23:31" x14ac:dyDescent="0.25">
      <c r="W859">
        <v>73</v>
      </c>
      <c r="X859">
        <v>76.825026150919697</v>
      </c>
      <c r="Y859">
        <v>-3.8250261509196974</v>
      </c>
      <c r="Z859">
        <v>-3.84625543346462</v>
      </c>
      <c r="AA859">
        <v>5.5194676776314042E-3</v>
      </c>
      <c r="AB859">
        <v>-1.0407515964801242</v>
      </c>
      <c r="AC859">
        <v>5.4651538820360633E-4</v>
      </c>
      <c r="AD859">
        <v>4.1053957112594373E-2</v>
      </c>
      <c r="AE859">
        <v>4.6116027903048168E-2</v>
      </c>
    </row>
    <row r="860" spans="23:31" x14ac:dyDescent="0.25">
      <c r="W860">
        <v>73</v>
      </c>
      <c r="X860">
        <v>74.774087670244995</v>
      </c>
      <c r="Y860">
        <v>-1.7740876702449953</v>
      </c>
      <c r="Z860">
        <v>-1.7937064655847621</v>
      </c>
      <c r="AA860">
        <v>1.093757296201562E-2</v>
      </c>
      <c r="AB860">
        <v>-0.4840319679513776</v>
      </c>
      <c r="AC860">
        <v>2.3553348889346131E-4</v>
      </c>
      <c r="AD860">
        <v>4.1053957112594373E-2</v>
      </c>
      <c r="AE860">
        <v>4.633646634425824E-2</v>
      </c>
    </row>
    <row r="861" spans="23:31" x14ac:dyDescent="0.25">
      <c r="W861">
        <v>72.8</v>
      </c>
      <c r="X861">
        <v>77.965159186779871</v>
      </c>
      <c r="Y861">
        <v>-5.1651591867798743</v>
      </c>
      <c r="Z861">
        <v>-5.2185785669475706</v>
      </c>
      <c r="AA861">
        <v>1.0236385154001722E-2</v>
      </c>
      <c r="AB861">
        <v>-1.4087333254148549</v>
      </c>
      <c r="AC861">
        <v>1.865864172702083E-3</v>
      </c>
      <c r="AD861">
        <v>4.1053957112594373E-2</v>
      </c>
      <c r="AE861">
        <v>4.898820028968822E-2</v>
      </c>
    </row>
    <row r="862" spans="23:31" x14ac:dyDescent="0.25">
      <c r="W862">
        <v>72.400000000000006</v>
      </c>
      <c r="X862">
        <v>74.899825040245645</v>
      </c>
      <c r="Y862">
        <v>-2.4998250402456392</v>
      </c>
      <c r="Z862">
        <v>-2.5255919258295307</v>
      </c>
      <c r="AA862">
        <v>1.0202315473203574E-2</v>
      </c>
      <c r="AB862">
        <v>-0.68178464709866593</v>
      </c>
      <c r="AC862">
        <v>4.3556609299139217E-4</v>
      </c>
      <c r="AD862">
        <v>4.1053957112594373E-2</v>
      </c>
      <c r="AE862">
        <v>4.9044298432943619E-2</v>
      </c>
    </row>
    <row r="863" spans="23:31" x14ac:dyDescent="0.25">
      <c r="W863">
        <v>72.2</v>
      </c>
      <c r="X863">
        <v>76.778969230466515</v>
      </c>
      <c r="Y863">
        <v>-4.5789692304665124</v>
      </c>
      <c r="Z863">
        <v>-4.5977520141114212</v>
      </c>
      <c r="AA863">
        <v>4.0852102478042898E-3</v>
      </c>
      <c r="AB863">
        <v>-1.2449945614063114</v>
      </c>
      <c r="AC863">
        <v>5.7800880496198723E-4</v>
      </c>
      <c r="AD863">
        <v>4.1053957112594373E-2</v>
      </c>
      <c r="AE863">
        <v>5.177868902082923E-2</v>
      </c>
    </row>
    <row r="864" spans="23:31" x14ac:dyDescent="0.25">
      <c r="W864">
        <v>71.099999999999994</v>
      </c>
      <c r="X864">
        <v>76.048764127943215</v>
      </c>
      <c r="Y864">
        <v>-4.9487641279432211</v>
      </c>
      <c r="Z864">
        <v>-4.972942661713617</v>
      </c>
      <c r="AA864">
        <v>4.8620174040099034E-3</v>
      </c>
      <c r="AB864">
        <v>-1.3460646629199959</v>
      </c>
      <c r="AC864">
        <v>8.0477109172414371E-4</v>
      </c>
      <c r="AD864">
        <v>4.1053957112594373E-2</v>
      </c>
      <c r="AE864">
        <v>5.2135619636709027E-2</v>
      </c>
    </row>
    <row r="865" spans="23:31" x14ac:dyDescent="0.25">
      <c r="W865">
        <v>72</v>
      </c>
      <c r="X865">
        <v>79.285964846183631</v>
      </c>
      <c r="Y865">
        <v>-7.2859648461836315</v>
      </c>
      <c r="Z865">
        <v>-7.319812251723036</v>
      </c>
      <c r="AA865">
        <v>4.6240811069220488E-3</v>
      </c>
      <c r="AB865">
        <v>-1.9815467670389419</v>
      </c>
      <c r="AC865">
        <v>1.6582663256734904E-3</v>
      </c>
      <c r="AD865">
        <v>4.1053957112594373E-2</v>
      </c>
      <c r="AE865">
        <v>5.4132658666469616E-2</v>
      </c>
    </row>
    <row r="866" spans="23:31" x14ac:dyDescent="0.25">
      <c r="W866">
        <v>76</v>
      </c>
      <c r="X866">
        <v>74.881100782498081</v>
      </c>
      <c r="Y866">
        <v>1.1188992175019195</v>
      </c>
      <c r="Z866">
        <v>1.1251600543245956</v>
      </c>
      <c r="AA866">
        <v>5.5643966372700849E-3</v>
      </c>
      <c r="AB866">
        <v>0.30444823299222717</v>
      </c>
      <c r="AC866">
        <v>4.7149342959100286E-5</v>
      </c>
      <c r="AD866">
        <v>4.1053957112594373E-2</v>
      </c>
      <c r="AE866">
        <v>5.4458492314176113E-2</v>
      </c>
    </row>
    <row r="867" spans="23:31" x14ac:dyDescent="0.25">
      <c r="W867">
        <v>78</v>
      </c>
      <c r="X867">
        <v>75.093129705086383</v>
      </c>
      <c r="Y867">
        <v>2.9068702949136167</v>
      </c>
      <c r="Z867">
        <v>2.9202668069778781</v>
      </c>
      <c r="AA867">
        <v>4.5874274337689225E-3</v>
      </c>
      <c r="AB867">
        <v>0.79056013922803481</v>
      </c>
      <c r="AC867">
        <v>2.6184436161557099E-4</v>
      </c>
      <c r="AD867">
        <v>4.1053957112594373E-2</v>
      </c>
      <c r="AE867">
        <v>5.6856770642350556E-2</v>
      </c>
    </row>
    <row r="868" spans="23:31" x14ac:dyDescent="0.25">
      <c r="W868">
        <v>71.599999999999994</v>
      </c>
      <c r="X868">
        <v>78.322668057490532</v>
      </c>
      <c r="Y868">
        <v>-6.7226680574905373</v>
      </c>
      <c r="Z868">
        <v>-6.7568960200950414</v>
      </c>
      <c r="AA868">
        <v>5.0656340578148478E-3</v>
      </c>
      <c r="AB868">
        <v>-1.8287539273254978</v>
      </c>
      <c r="AC868">
        <v>1.5479511083340549E-3</v>
      </c>
      <c r="AD868">
        <v>4.1053957112594373E-2</v>
      </c>
      <c r="AE868">
        <v>5.6977369011142143E-2</v>
      </c>
    </row>
    <row r="869" spans="23:31" x14ac:dyDescent="0.25">
      <c r="W869">
        <v>71.599999999999994</v>
      </c>
      <c r="X869">
        <v>77.894585012459359</v>
      </c>
      <c r="Y869">
        <v>-6.2945850124593647</v>
      </c>
      <c r="Z869">
        <v>-6.3214771616153769</v>
      </c>
      <c r="AA869">
        <v>4.2540925907805748E-3</v>
      </c>
      <c r="AB869">
        <v>-1.7116054407621935</v>
      </c>
      <c r="AC869">
        <v>1.1378186277629088E-3</v>
      </c>
      <c r="AD869">
        <v>6.3887210036911155E-2</v>
      </c>
      <c r="AE869">
        <v>5.755315754898338E-2</v>
      </c>
    </row>
    <row r="870" spans="23:31" x14ac:dyDescent="0.25">
      <c r="W870">
        <v>71.400000000000006</v>
      </c>
      <c r="X870">
        <v>77.581958409174561</v>
      </c>
      <c r="Y870">
        <v>-6.1819584091745554</v>
      </c>
      <c r="Z870">
        <v>-6.2041879306299137</v>
      </c>
      <c r="AA870">
        <v>3.582986476861469E-3</v>
      </c>
      <c r="AB870">
        <v>-1.680414157215661</v>
      </c>
      <c r="AC870">
        <v>9.2308992937679035E-4</v>
      </c>
      <c r="AD870">
        <v>6.3887210036911155E-2</v>
      </c>
      <c r="AE870">
        <v>5.7628239052605792E-2</v>
      </c>
    </row>
    <row r="871" spans="23:31" x14ac:dyDescent="0.25">
      <c r="W871">
        <v>71.2</v>
      </c>
      <c r="X871">
        <v>76.727516367408612</v>
      </c>
      <c r="Y871">
        <v>-5.5275163674086087</v>
      </c>
      <c r="Z871">
        <v>-5.5473670502047128</v>
      </c>
      <c r="AA871">
        <v>3.5783972137498829E-3</v>
      </c>
      <c r="AB871">
        <v>-1.5025166384100266</v>
      </c>
      <c r="AC871">
        <v>7.3704042250595449E-4</v>
      </c>
      <c r="AD871">
        <v>6.3887210036911155E-2</v>
      </c>
      <c r="AE871">
        <v>5.8877431158226003E-2</v>
      </c>
    </row>
    <row r="872" spans="23:31" x14ac:dyDescent="0.25">
      <c r="W872">
        <v>71.599999999999994</v>
      </c>
      <c r="X872">
        <v>76.464124688249683</v>
      </c>
      <c r="Y872">
        <v>-4.8641246882496887</v>
      </c>
      <c r="Z872">
        <v>-4.881472558904747</v>
      </c>
      <c r="AA872">
        <v>3.5538191489792662E-3</v>
      </c>
      <c r="AB872">
        <v>-1.3221739485206632</v>
      </c>
      <c r="AC872">
        <v>5.66794963631998E-4</v>
      </c>
      <c r="AD872">
        <v>6.3887210036911155E-2</v>
      </c>
      <c r="AE872">
        <v>5.9933103180050962E-2</v>
      </c>
    </row>
    <row r="873" spans="23:31" x14ac:dyDescent="0.25">
      <c r="W873">
        <v>81.7</v>
      </c>
      <c r="X873">
        <v>82.172289210079498</v>
      </c>
      <c r="Y873">
        <v>-0.47228921007949509</v>
      </c>
      <c r="Z873">
        <v>-0.50223527460651951</v>
      </c>
      <c r="AA873">
        <v>5.9625570008970737E-2</v>
      </c>
      <c r="AB873">
        <v>-0.13215038661746109</v>
      </c>
      <c r="AC873">
        <v>1.006644032132211E-4</v>
      </c>
      <c r="AD873">
        <v>6.3887210036911155E-2</v>
      </c>
      <c r="AE873">
        <v>6.0365216716591445E-2</v>
      </c>
    </row>
    <row r="874" spans="23:31" x14ac:dyDescent="0.25">
      <c r="W874">
        <v>81.400000000000006</v>
      </c>
      <c r="X874">
        <v>81.785708397425168</v>
      </c>
      <c r="Y874">
        <v>-0.38570839742516227</v>
      </c>
      <c r="Z874">
        <v>-0.40791907229325375</v>
      </c>
      <c r="AA874">
        <v>5.4448728624584039E-2</v>
      </c>
      <c r="AB874">
        <v>-0.10762852109595164</v>
      </c>
      <c r="AC874">
        <v>6.0640771909988283E-5</v>
      </c>
      <c r="AD874">
        <v>6.3887210036911155E-2</v>
      </c>
      <c r="AE874">
        <v>6.1531201951471187E-2</v>
      </c>
    </row>
    <row r="875" spans="23:31" x14ac:dyDescent="0.25">
      <c r="W875">
        <v>81.099999999999994</v>
      </c>
      <c r="X875">
        <v>76.807635836295134</v>
      </c>
      <c r="Y875">
        <v>4.2923641637048604</v>
      </c>
      <c r="Z875">
        <v>4.332682370664557</v>
      </c>
      <c r="AA875">
        <v>9.3055995132908902E-3</v>
      </c>
      <c r="AB875">
        <v>1.1701391936453731</v>
      </c>
      <c r="AC875">
        <v>1.1691951811985855E-3</v>
      </c>
      <c r="AD875">
        <v>6.3887210036911155E-2</v>
      </c>
      <c r="AE875">
        <v>6.6541036788144048E-2</v>
      </c>
    </row>
    <row r="876" spans="23:31" x14ac:dyDescent="0.25">
      <c r="W876">
        <v>88</v>
      </c>
      <c r="X876">
        <v>84.403795124092042</v>
      </c>
      <c r="Y876">
        <v>3.5962048759079579</v>
      </c>
      <c r="Z876">
        <v>3.8336630906992042</v>
      </c>
      <c r="AA876">
        <v>6.1940292919150403E-2</v>
      </c>
      <c r="AB876">
        <v>1.0074882843335904</v>
      </c>
      <c r="AC876">
        <v>6.0929848319929121E-3</v>
      </c>
      <c r="AD876">
        <v>6.3887210036911155E-2</v>
      </c>
      <c r="AE876">
        <v>7.0069176094121277E-2</v>
      </c>
    </row>
    <row r="877" spans="23:31" x14ac:dyDescent="0.25">
      <c r="W877">
        <v>86</v>
      </c>
      <c r="X877">
        <v>77.375377784160733</v>
      </c>
      <c r="Y877">
        <v>8.6246222158392669</v>
      </c>
      <c r="Z877">
        <v>8.6607084805261536</v>
      </c>
      <c r="AA877">
        <v>4.1666642824929462E-3</v>
      </c>
      <c r="AB877">
        <v>2.3450795023836868</v>
      </c>
      <c r="AC877">
        <v>2.0918199743510746E-3</v>
      </c>
      <c r="AD877">
        <v>6.3887210036911155E-2</v>
      </c>
      <c r="AE877">
        <v>7.0121810255176234E-2</v>
      </c>
    </row>
    <row r="878" spans="23:31" x14ac:dyDescent="0.25">
      <c r="W878">
        <v>83</v>
      </c>
      <c r="X878">
        <v>77.09069119937692</v>
      </c>
      <c r="Y878">
        <v>5.9093088006230801</v>
      </c>
      <c r="Z878">
        <v>5.9365761761684013</v>
      </c>
      <c r="AA878">
        <v>4.5931147409146549E-3</v>
      </c>
      <c r="AB878">
        <v>1.6071158531602143</v>
      </c>
      <c r="AC878">
        <v>1.0834486664892925E-3</v>
      </c>
      <c r="AD878">
        <v>6.3887210036911155E-2</v>
      </c>
      <c r="AE878">
        <v>7.1430537211850095E-2</v>
      </c>
    </row>
    <row r="879" spans="23:31" x14ac:dyDescent="0.25">
      <c r="W879">
        <v>80</v>
      </c>
      <c r="X879">
        <v>85.956203276582912</v>
      </c>
      <c r="Y879">
        <v>-5.9562032765829116</v>
      </c>
      <c r="Z879">
        <v>-6.4629237006259501</v>
      </c>
      <c r="AA879">
        <v>7.8404209536616573E-2</v>
      </c>
      <c r="AB879">
        <v>-1.6834882517960434</v>
      </c>
      <c r="AC879">
        <v>2.1919285487715271E-2</v>
      </c>
      <c r="AD879">
        <v>7.9127168877726875E-2</v>
      </c>
      <c r="AE879">
        <v>7.1449125621096343E-2</v>
      </c>
    </row>
    <row r="880" spans="23:31" x14ac:dyDescent="0.25">
      <c r="W880">
        <v>79.7</v>
      </c>
      <c r="X880">
        <v>75.893149185631742</v>
      </c>
      <c r="Y880">
        <v>3.8068508143682607</v>
      </c>
      <c r="Z880">
        <v>3.8262756276899381</v>
      </c>
      <c r="AA880">
        <v>5.0766895048306015E-3</v>
      </c>
      <c r="AB880">
        <v>1.0355757560995618</v>
      </c>
      <c r="AC880">
        <v>4.9746446106781281E-4</v>
      </c>
      <c r="AD880">
        <v>7.9127168877726875E-2</v>
      </c>
      <c r="AE880">
        <v>7.2153563574830437E-2</v>
      </c>
    </row>
    <row r="881" spans="23:31" x14ac:dyDescent="0.25">
      <c r="W881">
        <v>79.400000000000006</v>
      </c>
      <c r="X881">
        <v>82.788389693873299</v>
      </c>
      <c r="Y881">
        <v>-3.3883896938732931</v>
      </c>
      <c r="Z881">
        <v>-3.5675506602855052</v>
      </c>
      <c r="AA881">
        <v>5.0219599796202691E-2</v>
      </c>
      <c r="AB881">
        <v>-0.94339282864096119</v>
      </c>
      <c r="AC881">
        <v>4.2780169429393654E-3</v>
      </c>
      <c r="AD881">
        <v>7.9127168877726875E-2</v>
      </c>
      <c r="AE881">
        <v>7.5247024846865518E-2</v>
      </c>
    </row>
    <row r="882" spans="23:31" x14ac:dyDescent="0.25">
      <c r="W882">
        <v>78.8</v>
      </c>
      <c r="X882">
        <v>77.715647025309039</v>
      </c>
      <c r="Y882">
        <v>1.0843529746909581</v>
      </c>
      <c r="Z882">
        <v>1.0902058575559153</v>
      </c>
      <c r="AA882">
        <v>5.3686033920991427E-3</v>
      </c>
      <c r="AB882">
        <v>0.2950192897911017</v>
      </c>
      <c r="AC882">
        <v>4.2707809668715635E-5</v>
      </c>
      <c r="AD882">
        <v>7.9127168877726875E-2</v>
      </c>
      <c r="AE882">
        <v>7.5524301408344818E-2</v>
      </c>
    </row>
    <row r="883" spans="23:31" x14ac:dyDescent="0.25">
      <c r="W883">
        <v>78.7</v>
      </c>
      <c r="X883">
        <v>81.115119343638185</v>
      </c>
      <c r="Y883">
        <v>-2.4151193436381817</v>
      </c>
      <c r="Z883">
        <v>-2.4952806998414161</v>
      </c>
      <c r="AA883">
        <v>3.2125185839142104E-2</v>
      </c>
      <c r="AB883">
        <v>-0.66610059555911538</v>
      </c>
      <c r="AC883">
        <v>1.3387929556203267E-3</v>
      </c>
      <c r="AD883">
        <v>7.9127168877726875E-2</v>
      </c>
      <c r="AE883">
        <v>7.6634956960536155E-2</v>
      </c>
    </row>
    <row r="884" spans="23:31" x14ac:dyDescent="0.25">
      <c r="W884">
        <v>78.599999999999994</v>
      </c>
      <c r="X884">
        <v>80.053944722784308</v>
      </c>
      <c r="Y884">
        <v>-1.4539447227843141</v>
      </c>
      <c r="Z884">
        <v>-1.4855299601741478</v>
      </c>
      <c r="AA884">
        <v>2.1261932264314994E-2</v>
      </c>
      <c r="AB884">
        <v>-0.39877275185867594</v>
      </c>
      <c r="AC884">
        <v>3.1404690327736231E-4</v>
      </c>
      <c r="AD884">
        <v>7.9127168877726875E-2</v>
      </c>
      <c r="AE884">
        <v>7.8915017284477126E-2</v>
      </c>
    </row>
    <row r="885" spans="23:31" x14ac:dyDescent="0.25">
      <c r="W885">
        <v>78.3</v>
      </c>
      <c r="X885">
        <v>75.66515206657624</v>
      </c>
      <c r="Y885">
        <v>2.6348479334237567</v>
      </c>
      <c r="Z885">
        <v>2.6495995781834836</v>
      </c>
      <c r="AA885">
        <v>5.5674996634193733E-3</v>
      </c>
      <c r="AB885">
        <v>0.71693324701466021</v>
      </c>
      <c r="AC885">
        <v>2.6160717212985303E-4</v>
      </c>
      <c r="AD885">
        <v>7.9127168877726875E-2</v>
      </c>
      <c r="AE885">
        <v>8.0311824569687121E-2</v>
      </c>
    </row>
    <row r="886" spans="23:31" x14ac:dyDescent="0.25">
      <c r="W886">
        <v>78</v>
      </c>
      <c r="X886">
        <v>78.591947776007572</v>
      </c>
      <c r="Y886">
        <v>-0.5919477760075722</v>
      </c>
      <c r="Z886">
        <v>-0.60015811417837028</v>
      </c>
      <c r="AA886">
        <v>1.3680291871148208E-2</v>
      </c>
      <c r="AB886">
        <v>-0.16172805281212885</v>
      </c>
      <c r="AC886">
        <v>3.2980382063501787E-5</v>
      </c>
      <c r="AD886">
        <v>7.9127168877726875E-2</v>
      </c>
      <c r="AE886">
        <v>8.2307617022132573E-2</v>
      </c>
    </row>
    <row r="887" spans="23:31" x14ac:dyDescent="0.25">
      <c r="W887">
        <v>77.8</v>
      </c>
      <c r="X887">
        <v>78.712410523340012</v>
      </c>
      <c r="Y887">
        <v>-0.91241052334001438</v>
      </c>
      <c r="Z887">
        <v>-0.92605772708172651</v>
      </c>
      <c r="AA887">
        <v>1.4736882315871065E-2</v>
      </c>
      <c r="AB887">
        <v>-0.24941639213134065</v>
      </c>
      <c r="AC887">
        <v>8.4588376574245931E-5</v>
      </c>
      <c r="AD887">
        <v>7.9127168877726875E-2</v>
      </c>
      <c r="AE887">
        <v>8.3244113534005071E-2</v>
      </c>
    </row>
    <row r="888" spans="23:31" x14ac:dyDescent="0.25">
      <c r="W888">
        <v>65.099999999999994</v>
      </c>
      <c r="X888">
        <v>64.377841989275367</v>
      </c>
      <c r="Y888">
        <v>0.72215801072462682</v>
      </c>
      <c r="Z888">
        <v>0.72507883743539026</v>
      </c>
      <c r="AA888">
        <v>4.0282884563263184E-3</v>
      </c>
      <c r="AB888">
        <v>0.19634486671843576</v>
      </c>
      <c r="AC888">
        <v>1.4174899100803712E-5</v>
      </c>
      <c r="AD888">
        <v>7.9127168877726875E-2</v>
      </c>
      <c r="AE888">
        <v>8.3699076213400142E-2</v>
      </c>
    </row>
    <row r="889" spans="23:31" x14ac:dyDescent="0.25">
      <c r="W889">
        <v>64.7</v>
      </c>
      <c r="X889">
        <v>68.670161146868594</v>
      </c>
      <c r="Y889">
        <v>-3.9701611468685911</v>
      </c>
      <c r="Z889">
        <v>-3.9846502815473599</v>
      </c>
      <c r="AA889">
        <v>3.6362374750592242E-3</v>
      </c>
      <c r="AB889">
        <v>-1.079220019667174</v>
      </c>
      <c r="AC889">
        <v>3.8642179638608709E-4</v>
      </c>
      <c r="AD889">
        <v>7.9127168877726875E-2</v>
      </c>
      <c r="AE889">
        <v>8.5519431454551473E-2</v>
      </c>
    </row>
    <row r="890" spans="23:31" x14ac:dyDescent="0.25">
      <c r="W890">
        <v>64.3</v>
      </c>
      <c r="X890">
        <v>63.188155068867552</v>
      </c>
      <c r="Y890">
        <v>1.1118449311324454</v>
      </c>
      <c r="Z890">
        <v>1.1231544042005623</v>
      </c>
      <c r="AA890">
        <v>1.0069384072056349E-2</v>
      </c>
      <c r="AB890">
        <v>0.30321638275336366</v>
      </c>
      <c r="AC890">
        <v>8.5017981564996291E-5</v>
      </c>
      <c r="AD890">
        <v>7.9127168877726875E-2</v>
      </c>
      <c r="AE890">
        <v>8.8560763629176503E-2</v>
      </c>
    </row>
    <row r="891" spans="23:31" x14ac:dyDescent="0.25">
      <c r="W891">
        <v>63.8</v>
      </c>
      <c r="X891">
        <v>64.517888156764172</v>
      </c>
      <c r="Y891">
        <v>-0.71788815676417528</v>
      </c>
      <c r="Z891">
        <v>-0.71930533892162885</v>
      </c>
      <c r="AA891">
        <v>1.9702094239738331E-3</v>
      </c>
      <c r="AB891">
        <v>-0.19498259958132091</v>
      </c>
      <c r="AC891">
        <v>6.8228828517548233E-6</v>
      </c>
      <c r="AD891">
        <v>7.9127168877726875E-2</v>
      </c>
      <c r="AE891">
        <v>8.9698491789817772E-2</v>
      </c>
    </row>
    <row r="892" spans="23:31" x14ac:dyDescent="0.25">
      <c r="W892">
        <v>63.3</v>
      </c>
      <c r="X892">
        <v>62.924695509432318</v>
      </c>
      <c r="Y892">
        <v>0.37530449056767878</v>
      </c>
      <c r="Z892">
        <v>0.37905013552619238</v>
      </c>
      <c r="AA892">
        <v>9.881661045475415E-3</v>
      </c>
      <c r="AB892">
        <v>0.10234132338470328</v>
      </c>
      <c r="AC892">
        <v>9.5028138136168254E-6</v>
      </c>
      <c r="AD892">
        <v>9.896716322379942E-2</v>
      </c>
      <c r="AE892">
        <v>9.3181742565966702E-2</v>
      </c>
    </row>
    <row r="893" spans="23:31" x14ac:dyDescent="0.25">
      <c r="W893">
        <v>62.8</v>
      </c>
      <c r="X893">
        <v>63.815471371974773</v>
      </c>
      <c r="Y893">
        <v>-1.0154713719747761</v>
      </c>
      <c r="Z893">
        <v>-1.0174337294243543</v>
      </c>
      <c r="AA893">
        <v>1.9287324499129975E-3</v>
      </c>
      <c r="AB893">
        <v>-0.27580220102508191</v>
      </c>
      <c r="AC893">
        <v>1.3363284185912203E-5</v>
      </c>
      <c r="AD893">
        <v>9.896716322379942E-2</v>
      </c>
      <c r="AE893">
        <v>9.439769531397886E-2</v>
      </c>
    </row>
    <row r="894" spans="23:31" x14ac:dyDescent="0.25">
      <c r="W894">
        <v>62.3</v>
      </c>
      <c r="X894">
        <v>63.309078627934376</v>
      </c>
      <c r="Y894">
        <v>-1.0090786279343789</v>
      </c>
      <c r="Z894">
        <v>-1.0111641947055503</v>
      </c>
      <c r="AA894">
        <v>2.0625401711130303E-3</v>
      </c>
      <c r="AB894">
        <v>-0.27408430398321881</v>
      </c>
      <c r="AC894">
        <v>1.4114800249628432E-5</v>
      </c>
      <c r="AD894">
        <v>9.896716322379942E-2</v>
      </c>
      <c r="AE894">
        <v>9.5539547645871109E-2</v>
      </c>
    </row>
    <row r="895" spans="23:31" x14ac:dyDescent="0.25">
      <c r="W895">
        <v>61.9</v>
      </c>
      <c r="X895">
        <v>63.054112393069744</v>
      </c>
      <c r="Y895">
        <v>-1.1541123930697452</v>
      </c>
      <c r="Z895">
        <v>-1.1565972046910034</v>
      </c>
      <c r="AA895">
        <v>2.1483811401060851E-3</v>
      </c>
      <c r="AB895">
        <v>-0.31349162388075574</v>
      </c>
      <c r="AC895">
        <v>1.9235547973243947E-5</v>
      </c>
      <c r="AD895">
        <v>9.896716322379942E-2</v>
      </c>
      <c r="AE895">
        <v>9.6490008355923598E-2</v>
      </c>
    </row>
    <row r="896" spans="23:31" x14ac:dyDescent="0.25">
      <c r="W896">
        <v>61.4</v>
      </c>
      <c r="X896">
        <v>62.878073319984971</v>
      </c>
      <c r="Y896">
        <v>-1.478073319984972</v>
      </c>
      <c r="Z896">
        <v>-1.4813630914804108</v>
      </c>
      <c r="AA896">
        <v>2.2207732286280029E-3</v>
      </c>
      <c r="AB896">
        <v>-0.40150371578510935</v>
      </c>
      <c r="AC896">
        <v>3.2617915859212365E-5</v>
      </c>
      <c r="AD896">
        <v>9.896716322379942E-2</v>
      </c>
      <c r="AE896">
        <v>9.7319272051139993E-2</v>
      </c>
    </row>
    <row r="897" spans="23:31" x14ac:dyDescent="0.25">
      <c r="W897">
        <v>69</v>
      </c>
      <c r="X897">
        <v>62.681875154871967</v>
      </c>
      <c r="Y897">
        <v>6.3181248451280325</v>
      </c>
      <c r="Z897">
        <v>6.3325578107479785</v>
      </c>
      <c r="AA897">
        <v>2.2791683947120996E-3</v>
      </c>
      <c r="AB897">
        <v>1.7163051405567877</v>
      </c>
      <c r="AC897">
        <v>6.1173551575100307E-4</v>
      </c>
      <c r="AD897">
        <v>9.896716322379942E-2</v>
      </c>
      <c r="AE897">
        <v>9.8181635249785501E-2</v>
      </c>
    </row>
    <row r="898" spans="23:31" x14ac:dyDescent="0.25">
      <c r="W898">
        <v>64</v>
      </c>
      <c r="X898">
        <v>62.175686189289777</v>
      </c>
      <c r="Y898">
        <v>1.8243138107102226</v>
      </c>
      <c r="Z898">
        <v>1.8284308717085409</v>
      </c>
      <c r="AA898">
        <v>2.251690814250344E-3</v>
      </c>
      <c r="AB898">
        <v>0.49556413230868313</v>
      </c>
      <c r="AC898">
        <v>5.0384250424202321E-5</v>
      </c>
      <c r="AD898">
        <v>9.896716322379942E-2</v>
      </c>
      <c r="AE898">
        <v>9.9168876366474437E-2</v>
      </c>
    </row>
    <row r="899" spans="23:31" x14ac:dyDescent="0.25">
      <c r="W899">
        <v>59.9</v>
      </c>
      <c r="X899">
        <v>61.545572541174138</v>
      </c>
      <c r="Y899">
        <v>-1.6455725411741398</v>
      </c>
      <c r="Z899">
        <v>-1.649622953196868</v>
      </c>
      <c r="AA899">
        <v>2.4553562466373465E-3</v>
      </c>
      <c r="AB899">
        <v>-0.44705574617283567</v>
      </c>
      <c r="AC899">
        <v>4.472113829871127E-5</v>
      </c>
      <c r="AD899">
        <v>9.896716322379942E-2</v>
      </c>
      <c r="AE899">
        <v>0.10057083469431317</v>
      </c>
    </row>
    <row r="900" spans="23:31" x14ac:dyDescent="0.25">
      <c r="W900">
        <v>59.3</v>
      </c>
      <c r="X900">
        <v>61.297887812867771</v>
      </c>
      <c r="Y900">
        <v>-1.9978878128677735</v>
      </c>
      <c r="Z900">
        <v>-2.003408672445893</v>
      </c>
      <c r="AA900">
        <v>2.7557330933275143E-3</v>
      </c>
      <c r="AB900">
        <v>-0.54285162673452891</v>
      </c>
      <c r="AC900">
        <v>7.4029566357806064E-5</v>
      </c>
      <c r="AD900">
        <v>9.896716322379942E-2</v>
      </c>
      <c r="AE900">
        <v>0.10063906096835187</v>
      </c>
    </row>
    <row r="901" spans="23:31" x14ac:dyDescent="0.25">
      <c r="W901">
        <v>57.6</v>
      </c>
      <c r="X901">
        <v>61.048155043767025</v>
      </c>
      <c r="Y901">
        <v>-3.4481550437670236</v>
      </c>
      <c r="Z901">
        <v>-3.4768493387548176</v>
      </c>
      <c r="AA901">
        <v>8.2529589844316693E-3</v>
      </c>
      <c r="AB901">
        <v>-0.93950078792077241</v>
      </c>
      <c r="AC901">
        <v>6.6774460144186144E-4</v>
      </c>
      <c r="AD901">
        <v>9.896716322379942E-2</v>
      </c>
      <c r="AE901">
        <v>0.10163949896779813</v>
      </c>
    </row>
    <row r="902" spans="23:31" x14ac:dyDescent="0.25">
      <c r="W902">
        <v>56.7</v>
      </c>
      <c r="X902">
        <v>59.409940838157908</v>
      </c>
      <c r="Y902">
        <v>-2.7099408381579053</v>
      </c>
      <c r="Z902">
        <v>-2.7254276324631661</v>
      </c>
      <c r="AA902">
        <v>5.6823355427956784E-3</v>
      </c>
      <c r="AB902">
        <v>-0.73740835218499223</v>
      </c>
      <c r="AC902">
        <v>2.8250435023190228E-4</v>
      </c>
      <c r="AD902">
        <v>9.896716322379942E-2</v>
      </c>
      <c r="AE902">
        <v>0.10188488451637656</v>
      </c>
    </row>
    <row r="903" spans="23:31" x14ac:dyDescent="0.25">
      <c r="W903">
        <v>55.3</v>
      </c>
      <c r="X903">
        <v>65.744355393930746</v>
      </c>
      <c r="Y903">
        <v>-10.444355393930749</v>
      </c>
      <c r="Z903">
        <v>-10.570927652329459</v>
      </c>
      <c r="AA903">
        <v>1.1973618830965871E-2</v>
      </c>
      <c r="AB903">
        <v>-2.8510720391515174</v>
      </c>
      <c r="AC903">
        <v>8.9553091848747525E-3</v>
      </c>
      <c r="AD903">
        <v>0.11578501997911882</v>
      </c>
      <c r="AE903">
        <v>0.10197965610916558</v>
      </c>
    </row>
    <row r="904" spans="23:31" x14ac:dyDescent="0.25">
      <c r="W904">
        <v>54.1</v>
      </c>
      <c r="X904">
        <v>56.828259118259581</v>
      </c>
      <c r="Y904">
        <v>-2.7282591182595795</v>
      </c>
      <c r="Z904">
        <v>-2.754360319978737</v>
      </c>
      <c r="AA904">
        <v>9.4763207013368253E-3</v>
      </c>
      <c r="AB904">
        <v>-0.74381341074236174</v>
      </c>
      <c r="AC904">
        <v>4.8118292868890445E-4</v>
      </c>
      <c r="AD904">
        <v>0.11578501997911882</v>
      </c>
      <c r="AE904">
        <v>0.10234132338470328</v>
      </c>
    </row>
    <row r="905" spans="23:31" x14ac:dyDescent="0.25">
      <c r="W905">
        <v>52.9</v>
      </c>
      <c r="X905">
        <v>54.017102568258466</v>
      </c>
      <c r="Y905">
        <v>-1.117102568258467</v>
      </c>
      <c r="Z905">
        <v>-1.1259456540796791</v>
      </c>
      <c r="AA905">
        <v>7.8539188718137459E-3</v>
      </c>
      <c r="AB905">
        <v>-0.30430988480907278</v>
      </c>
      <c r="AC905">
        <v>6.6642337808170871E-5</v>
      </c>
      <c r="AD905">
        <v>0.11578501997911882</v>
      </c>
      <c r="AE905">
        <v>0.1025764383341677</v>
      </c>
    </row>
    <row r="906" spans="23:31" x14ac:dyDescent="0.25">
      <c r="W906">
        <v>51.5</v>
      </c>
      <c r="X906">
        <v>52.482846058718337</v>
      </c>
      <c r="Y906">
        <v>-0.98284605871833719</v>
      </c>
      <c r="Z906">
        <v>-0.99171809829024227</v>
      </c>
      <c r="AA906">
        <v>8.9461305457666958E-3</v>
      </c>
      <c r="AB906">
        <v>-0.26788456414570694</v>
      </c>
      <c r="AC906">
        <v>5.8889879281252644E-5</v>
      </c>
      <c r="AD906">
        <v>0.11578501997911882</v>
      </c>
      <c r="AE906">
        <v>0.10378427523581364</v>
      </c>
    </row>
    <row r="907" spans="23:31" x14ac:dyDescent="0.25">
      <c r="W907">
        <v>50</v>
      </c>
      <c r="X907">
        <v>50.546218211240827</v>
      </c>
      <c r="Y907">
        <v>-0.54621821124082715</v>
      </c>
      <c r="Z907">
        <v>-0.55142514081568095</v>
      </c>
      <c r="AA907">
        <v>9.442677145897688E-3</v>
      </c>
      <c r="AB907">
        <v>-0.14891456913240653</v>
      </c>
      <c r="AC907">
        <v>1.9217514677072197E-5</v>
      </c>
      <c r="AD907">
        <v>0.11578501997911882</v>
      </c>
      <c r="AE907">
        <v>0.10828076148933442</v>
      </c>
    </row>
    <row r="908" spans="23:31" x14ac:dyDescent="0.25">
      <c r="W908">
        <v>48.5</v>
      </c>
      <c r="X908">
        <v>49.241065294892302</v>
      </c>
      <c r="Y908">
        <v>-0.74106529489230155</v>
      </c>
      <c r="Z908">
        <v>-0.74869878604007312</v>
      </c>
      <c r="AA908">
        <v>1.0195677207041402E-2</v>
      </c>
      <c r="AB908">
        <v>-0.20211224312194589</v>
      </c>
      <c r="AC908">
        <v>3.8252452994117659E-5</v>
      </c>
      <c r="AD908">
        <v>0.11578501997911882</v>
      </c>
      <c r="AE908">
        <v>0.10885626008583756</v>
      </c>
    </row>
    <row r="909" spans="23:31" x14ac:dyDescent="0.25">
      <c r="W909">
        <v>47.1</v>
      </c>
      <c r="X909">
        <v>47.962416511529227</v>
      </c>
      <c r="Y909">
        <v>-0.86241651152922572</v>
      </c>
      <c r="Z909">
        <v>-0.87288260984190202</v>
      </c>
      <c r="AA909">
        <v>1.1990270163099753E-2</v>
      </c>
      <c r="AB909">
        <v>-0.23542212314452393</v>
      </c>
      <c r="AC909">
        <v>6.1146218813476074E-5</v>
      </c>
      <c r="AD909">
        <v>0.11578501997911882</v>
      </c>
      <c r="AE909">
        <v>0.11220344279533401</v>
      </c>
    </row>
    <row r="910" spans="23:31" x14ac:dyDescent="0.25">
      <c r="W910">
        <v>46</v>
      </c>
      <c r="X910">
        <v>56.671650963363355</v>
      </c>
      <c r="Y910">
        <v>-10.671650963363355</v>
      </c>
      <c r="Z910">
        <v>-10.860991411894474</v>
      </c>
      <c r="AA910">
        <v>1.7433072299805372E-2</v>
      </c>
      <c r="AB910">
        <v>-2.9212004667457054</v>
      </c>
      <c r="AC910">
        <v>1.3763910082308702E-2</v>
      </c>
      <c r="AD910">
        <v>0.11578501997911882</v>
      </c>
      <c r="AE910">
        <v>0.11277439363698739</v>
      </c>
    </row>
    <row r="911" spans="23:31" x14ac:dyDescent="0.25">
      <c r="W911">
        <v>45.1</v>
      </c>
      <c r="X911">
        <v>46.391292756479878</v>
      </c>
      <c r="Y911">
        <v>-1.2912927564798764</v>
      </c>
      <c r="Z911">
        <v>-1.3078970740224278</v>
      </c>
      <c r="AA911">
        <v>1.2695431370210463E-2</v>
      </c>
      <c r="AB911">
        <v>-0.35262245242739565</v>
      </c>
      <c r="AC911">
        <v>1.4535285059015112E-4</v>
      </c>
      <c r="AD911">
        <v>0.11578501997911882</v>
      </c>
      <c r="AE911">
        <v>0.11367711515902655</v>
      </c>
    </row>
    <row r="912" spans="23:31" x14ac:dyDescent="0.25">
      <c r="W912">
        <v>44.6</v>
      </c>
      <c r="X912">
        <v>46.054619694518742</v>
      </c>
      <c r="Y912">
        <v>-1.4546196945187404</v>
      </c>
      <c r="Z912">
        <v>-1.473423530479046</v>
      </c>
      <c r="AA912">
        <v>1.2762003301380467E-2</v>
      </c>
      <c r="AB912">
        <v>-0.39723668803603168</v>
      </c>
      <c r="AC912">
        <v>1.8543982551885667E-4</v>
      </c>
      <c r="AD912">
        <v>0.12956927093944998</v>
      </c>
      <c r="AE912">
        <v>0.11465540677654469</v>
      </c>
    </row>
    <row r="913" spans="23:31" x14ac:dyDescent="0.25">
      <c r="W913">
        <v>44</v>
      </c>
      <c r="X913">
        <v>55.526095786988009</v>
      </c>
      <c r="Y913">
        <v>-11.526095786988009</v>
      </c>
      <c r="Z913">
        <v>-11.758582071432691</v>
      </c>
      <c r="AA913">
        <v>1.9771625782117556E-2</v>
      </c>
      <c r="AB913">
        <v>-3.1588529529329268</v>
      </c>
      <c r="AC913">
        <v>1.8297057226234013E-2</v>
      </c>
      <c r="AD913">
        <v>0.12956927093944998</v>
      </c>
      <c r="AE913">
        <v>0.11521868562090086</v>
      </c>
    </row>
    <row r="914" spans="23:31" x14ac:dyDescent="0.25">
      <c r="W914">
        <v>74.8</v>
      </c>
      <c r="X914">
        <v>73.971118808198923</v>
      </c>
      <c r="Y914">
        <v>0.82888119180107367</v>
      </c>
      <c r="Z914">
        <v>0.83177011446473159</v>
      </c>
      <c r="AA914">
        <v>3.4732224847048932E-3</v>
      </c>
      <c r="AB914">
        <v>0.22529866516150002</v>
      </c>
      <c r="AC914">
        <v>1.6083041513418366E-5</v>
      </c>
      <c r="AD914">
        <v>0.12956927093944998</v>
      </c>
      <c r="AE914">
        <v>0.11567817704784202</v>
      </c>
    </row>
    <row r="915" spans="23:31" x14ac:dyDescent="0.25">
      <c r="W915">
        <v>74.599999999999994</v>
      </c>
      <c r="X915">
        <v>73.485118132470859</v>
      </c>
      <c r="Y915">
        <v>1.1148818675291352</v>
      </c>
      <c r="Z915">
        <v>1.1187049799471112</v>
      </c>
      <c r="AA915">
        <v>3.4174447119724319E-3</v>
      </c>
      <c r="AB915">
        <v>0.30302819000108144</v>
      </c>
      <c r="AC915">
        <v>2.8626061160057433E-5</v>
      </c>
      <c r="AD915">
        <v>0.12956927093944998</v>
      </c>
      <c r="AE915">
        <v>0.12215739881492792</v>
      </c>
    </row>
    <row r="916" spans="23:31" x14ac:dyDescent="0.25">
      <c r="W916">
        <v>74.5</v>
      </c>
      <c r="X916">
        <v>73.382584471947283</v>
      </c>
      <c r="Y916">
        <v>1.1174155280527174</v>
      </c>
      <c r="Z916">
        <v>1.1212777021767977</v>
      </c>
      <c r="AA916">
        <v>3.4444403171295618E-3</v>
      </c>
      <c r="AB916">
        <v>0.3037209600787884</v>
      </c>
      <c r="AC916">
        <v>2.8985045772944596E-5</v>
      </c>
      <c r="AD916">
        <v>0.12956927093944998</v>
      </c>
      <c r="AE916">
        <v>0.1228050842931291</v>
      </c>
    </row>
    <row r="917" spans="23:31" x14ac:dyDescent="0.25">
      <c r="W917">
        <v>74.3</v>
      </c>
      <c r="X917">
        <v>75.436786969673079</v>
      </c>
      <c r="Y917">
        <v>-1.1367869696730821</v>
      </c>
      <c r="Z917">
        <v>-1.1417424254677826</v>
      </c>
      <c r="AA917">
        <v>4.3402572105243871E-3</v>
      </c>
      <c r="AB917">
        <v>-0.30912521613380589</v>
      </c>
      <c r="AC917">
        <v>3.7868726501432307E-5</v>
      </c>
      <c r="AD917">
        <v>0.12956927093944998</v>
      </c>
      <c r="AE917">
        <v>0.12296826326173722</v>
      </c>
    </row>
    <row r="918" spans="23:31" x14ac:dyDescent="0.25">
      <c r="W918">
        <v>74.099999999999994</v>
      </c>
      <c r="X918">
        <v>73.006284454534196</v>
      </c>
      <c r="Y918">
        <v>1.0937155454657983</v>
      </c>
      <c r="Z918">
        <v>1.0974299361821096</v>
      </c>
      <c r="AA918">
        <v>3.3846267482253592E-3</v>
      </c>
      <c r="AB918">
        <v>0.29727022645457257</v>
      </c>
      <c r="AC918">
        <v>2.7283076640533454E-5</v>
      </c>
      <c r="AD918">
        <v>0.12956927093944998</v>
      </c>
      <c r="AE918">
        <v>0.12519960267874922</v>
      </c>
    </row>
    <row r="919" spans="23:31" x14ac:dyDescent="0.25">
      <c r="W919">
        <v>74</v>
      </c>
      <c r="X919">
        <v>72.893110940339511</v>
      </c>
      <c r="Y919">
        <v>1.1068890596604888</v>
      </c>
      <c r="Z919">
        <v>1.1105648276764697</v>
      </c>
      <c r="AA919">
        <v>3.3098185034958825E-3</v>
      </c>
      <c r="AB919">
        <v>0.30083947699278846</v>
      </c>
      <c r="AC919">
        <v>2.7322533326884612E-5</v>
      </c>
      <c r="AD919">
        <v>0.12956927093944998</v>
      </c>
      <c r="AE919">
        <v>0.12533825658460176</v>
      </c>
    </row>
    <row r="920" spans="23:31" x14ac:dyDescent="0.25">
      <c r="W920">
        <v>73.8</v>
      </c>
      <c r="X920">
        <v>72.618147005610766</v>
      </c>
      <c r="Y920">
        <v>1.1818529943892315</v>
      </c>
      <c r="Z920">
        <v>1.1859805703306705</v>
      </c>
      <c r="AA920">
        <v>3.4803065452325595E-3</v>
      </c>
      <c r="AB920">
        <v>0.32124127210881948</v>
      </c>
      <c r="AC920">
        <v>3.2764353384552578E-5</v>
      </c>
      <c r="AD920">
        <v>0.12956927093944998</v>
      </c>
      <c r="AE920">
        <v>0.12667109926866149</v>
      </c>
    </row>
    <row r="921" spans="23:31" x14ac:dyDescent="0.25">
      <c r="W921">
        <v>73.7</v>
      </c>
      <c r="X921">
        <v>72.266558445366456</v>
      </c>
      <c r="Y921">
        <v>1.4334415546335464</v>
      </c>
      <c r="Z921">
        <v>1.4382044988577434</v>
      </c>
      <c r="AA921">
        <v>3.3117294710078298E-3</v>
      </c>
      <c r="AB921">
        <v>0.38959299239588024</v>
      </c>
      <c r="AC921">
        <v>4.5848495984902284E-5</v>
      </c>
      <c r="AD921">
        <v>0.12956927093944998</v>
      </c>
      <c r="AE921">
        <v>0.1280472605900842</v>
      </c>
    </row>
    <row r="922" spans="23:31" x14ac:dyDescent="0.25">
      <c r="W922">
        <v>73.599999999999994</v>
      </c>
      <c r="X922">
        <v>72.480592697036755</v>
      </c>
      <c r="Y922">
        <v>1.1194073029632392</v>
      </c>
      <c r="Z922">
        <v>1.1231136405943403</v>
      </c>
      <c r="AA922">
        <v>3.3000557531653232E-3</v>
      </c>
      <c r="AB922">
        <v>0.3042402988070147</v>
      </c>
      <c r="AC922">
        <v>2.7861060025369274E-5</v>
      </c>
      <c r="AD922">
        <v>0.12956927093944998</v>
      </c>
      <c r="AE922">
        <v>0.13057277073491866</v>
      </c>
    </row>
    <row r="923" spans="23:31" x14ac:dyDescent="0.25">
      <c r="W923">
        <v>73.400000000000006</v>
      </c>
      <c r="X923">
        <v>71.57461198431686</v>
      </c>
      <c r="Y923">
        <v>1.8253880156831457</v>
      </c>
      <c r="Z923">
        <v>1.837797030946362</v>
      </c>
      <c r="AA923">
        <v>6.7521141095891017E-3</v>
      </c>
      <c r="AB923">
        <v>0.4969780300502798</v>
      </c>
      <c r="AC923">
        <v>1.5263840500159901E-4</v>
      </c>
      <c r="AD923">
        <v>0.12956927093944998</v>
      </c>
      <c r="AE923">
        <v>0.13160303080074645</v>
      </c>
    </row>
    <row r="924" spans="23:31" x14ac:dyDescent="0.25">
      <c r="W924">
        <v>73.2</v>
      </c>
      <c r="X924">
        <v>72.324511415082426</v>
      </c>
      <c r="Y924">
        <v>0.87548858491757642</v>
      </c>
      <c r="Z924">
        <v>0.87838096733254645</v>
      </c>
      <c r="AA924">
        <v>3.2928564285230424E-3</v>
      </c>
      <c r="AB924">
        <v>0.23794551456013513</v>
      </c>
      <c r="AC924">
        <v>1.700464557036503E-5</v>
      </c>
      <c r="AD924">
        <v>0.14798710972583889</v>
      </c>
      <c r="AE924">
        <v>0.13435276497913504</v>
      </c>
    </row>
    <row r="925" spans="23:31" x14ac:dyDescent="0.25">
      <c r="W925">
        <v>73.099999999999994</v>
      </c>
      <c r="X925">
        <v>71.656647572705609</v>
      </c>
      <c r="Y925">
        <v>1.4433524272943856</v>
      </c>
      <c r="Z925">
        <v>1.4478383551062137</v>
      </c>
      <c r="AA925">
        <v>3.0983623247745726E-3</v>
      </c>
      <c r="AB925">
        <v>0.39224467118205508</v>
      </c>
      <c r="AC925">
        <v>4.3471168380585602E-5</v>
      </c>
      <c r="AD925">
        <v>0.14798710972583889</v>
      </c>
      <c r="AE925">
        <v>0.13618806958237351</v>
      </c>
    </row>
    <row r="926" spans="23:31" x14ac:dyDescent="0.25">
      <c r="W926">
        <v>72.900000000000006</v>
      </c>
      <c r="X926">
        <v>73.662015525438363</v>
      </c>
      <c r="Y926">
        <v>-0.7620155254383576</v>
      </c>
      <c r="Z926">
        <v>-0.76538319979982816</v>
      </c>
      <c r="AA926">
        <v>4.3999846904849262E-3</v>
      </c>
      <c r="AB926">
        <v>-0.20722024962919658</v>
      </c>
      <c r="AC926">
        <v>1.7251941256863519E-5</v>
      </c>
      <c r="AD926">
        <v>0.14798710972583889</v>
      </c>
      <c r="AE926">
        <v>0.13798732228237079</v>
      </c>
    </row>
    <row r="927" spans="23:31" x14ac:dyDescent="0.25">
      <c r="W927">
        <v>72.7</v>
      </c>
      <c r="X927">
        <v>71.236469055657679</v>
      </c>
      <c r="Y927">
        <v>1.4635309443423239</v>
      </c>
      <c r="Z927">
        <v>1.4685961683023834</v>
      </c>
      <c r="AA927">
        <v>3.4490243603920393E-3</v>
      </c>
      <c r="AB927">
        <v>0.39779834332115055</v>
      </c>
      <c r="AC927">
        <v>4.978860958884312E-5</v>
      </c>
      <c r="AD927">
        <v>0.14798710972583889</v>
      </c>
      <c r="AE927">
        <v>0.13853784380784812</v>
      </c>
    </row>
    <row r="928" spans="23:31" x14ac:dyDescent="0.25">
      <c r="W928">
        <v>72.400000000000006</v>
      </c>
      <c r="X928">
        <v>70.683508436243883</v>
      </c>
      <c r="Y928">
        <v>1.7164915637561222</v>
      </c>
      <c r="Z928">
        <v>1.7224819112286411</v>
      </c>
      <c r="AA928">
        <v>3.4777418755236548E-3</v>
      </c>
      <c r="AB928">
        <v>0.46656159993257784</v>
      </c>
      <c r="AC928">
        <v>6.906144154101719E-5</v>
      </c>
      <c r="AD928">
        <v>0.14798710972583889</v>
      </c>
      <c r="AE928">
        <v>0.1386511959859574</v>
      </c>
    </row>
    <row r="929" spans="23:31" x14ac:dyDescent="0.25">
      <c r="W929">
        <v>78.2</v>
      </c>
      <c r="X929">
        <v>74.78243580481508</v>
      </c>
      <c r="Y929">
        <v>3.4175641951849229</v>
      </c>
      <c r="Z929">
        <v>3.4583557260903888</v>
      </c>
      <c r="AA929">
        <v>1.1795065093426319E-2</v>
      </c>
      <c r="AB929">
        <v>0.9328331945658791</v>
      </c>
      <c r="AC929">
        <v>9.4421005789833013E-4</v>
      </c>
      <c r="AD929">
        <v>0.14798710972583889</v>
      </c>
      <c r="AE929">
        <v>0.13883447639776153</v>
      </c>
    </row>
    <row r="930" spans="23:31" x14ac:dyDescent="0.25">
      <c r="W930">
        <v>77.900000000000006</v>
      </c>
      <c r="X930">
        <v>73.947774401650989</v>
      </c>
      <c r="Y930">
        <v>3.9522255983490169</v>
      </c>
      <c r="Z930">
        <v>3.9813030880101365</v>
      </c>
      <c r="AA930">
        <v>7.3035106894243848E-3</v>
      </c>
      <c r="AB930">
        <v>1.0763271708636448</v>
      </c>
      <c r="AC930">
        <v>7.7483834641003837E-4</v>
      </c>
      <c r="AD930">
        <v>0.14798710972583889</v>
      </c>
      <c r="AE930">
        <v>0.13966023015822349</v>
      </c>
    </row>
    <row r="931" spans="23:31" x14ac:dyDescent="0.25">
      <c r="W931">
        <v>77.599999999999994</v>
      </c>
      <c r="X931">
        <v>73.223017733484085</v>
      </c>
      <c r="Y931">
        <v>4.3769822665159097</v>
      </c>
      <c r="Z931">
        <v>4.3988140354904885</v>
      </c>
      <c r="AA931">
        <v>4.9631034179741153E-3</v>
      </c>
      <c r="AB931">
        <v>1.1906003739224087</v>
      </c>
      <c r="AC931">
        <v>6.4276687005518666E-4</v>
      </c>
      <c r="AD931">
        <v>0.14798710972583889</v>
      </c>
      <c r="AE931">
        <v>0.14573953604716899</v>
      </c>
    </row>
    <row r="932" spans="23:31" x14ac:dyDescent="0.25">
      <c r="W932">
        <v>77.3</v>
      </c>
      <c r="X932">
        <v>72.346532462166905</v>
      </c>
      <c r="Y932">
        <v>4.9534675378330917</v>
      </c>
      <c r="Z932">
        <v>4.9691929936794423</v>
      </c>
      <c r="AA932">
        <v>3.1645894748607967E-3</v>
      </c>
      <c r="AB932">
        <v>1.3461963625438331</v>
      </c>
      <c r="AC932">
        <v>5.230197185391416E-4</v>
      </c>
      <c r="AD932">
        <v>0.14798710972583889</v>
      </c>
      <c r="AE932">
        <v>0.14698880066749628</v>
      </c>
    </row>
    <row r="933" spans="23:31" x14ac:dyDescent="0.25">
      <c r="W933">
        <v>76.7</v>
      </c>
      <c r="X933">
        <v>71.454612815143221</v>
      </c>
      <c r="Y933">
        <v>5.2453871848567815</v>
      </c>
      <c r="Z933">
        <v>5.2618114722854443</v>
      </c>
      <c r="AA933">
        <v>3.1214131321831025E-3</v>
      </c>
      <c r="AB933">
        <v>1.4255000511195892</v>
      </c>
      <c r="AC933">
        <v>5.784299543580173E-4</v>
      </c>
      <c r="AD933">
        <v>0.14798710972583889</v>
      </c>
      <c r="AE933">
        <v>0.14747386586491948</v>
      </c>
    </row>
    <row r="934" spans="23:31" x14ac:dyDescent="0.25">
      <c r="W934">
        <v>76.3</v>
      </c>
      <c r="X934">
        <v>71.708128838720555</v>
      </c>
      <c r="Y934">
        <v>4.5918711612794425</v>
      </c>
      <c r="Z934">
        <v>4.6113714424191556</v>
      </c>
      <c r="AA934">
        <v>4.2287378891947757E-3</v>
      </c>
      <c r="AB934">
        <v>1.2485924943936297</v>
      </c>
      <c r="AC934">
        <v>6.0186617051438045E-4</v>
      </c>
      <c r="AD934">
        <v>0.16337348484333708</v>
      </c>
      <c r="AE934">
        <v>0.15011543247691506</v>
      </c>
    </row>
    <row r="935" spans="23:31" x14ac:dyDescent="0.25">
      <c r="W935">
        <v>75.900000000000006</v>
      </c>
      <c r="X935">
        <v>71.215833050671066</v>
      </c>
      <c r="Y935">
        <v>4.6841669493289402</v>
      </c>
      <c r="Z935">
        <v>4.7158398998957551</v>
      </c>
      <c r="AA935">
        <v>6.7162904676894451E-3</v>
      </c>
      <c r="AB935">
        <v>1.2752828785709307</v>
      </c>
      <c r="AC935">
        <v>9.9971574133421752E-4</v>
      </c>
      <c r="AD935">
        <v>0.16337348484333708</v>
      </c>
      <c r="AE935">
        <v>0.15133543287055493</v>
      </c>
    </row>
    <row r="936" spans="23:31" x14ac:dyDescent="0.25">
      <c r="W936">
        <v>75.400000000000006</v>
      </c>
      <c r="X936">
        <v>71.165965970053506</v>
      </c>
      <c r="Y936">
        <v>4.2340340299464998</v>
      </c>
      <c r="Z936">
        <v>4.2456940366032114</v>
      </c>
      <c r="AA936">
        <v>2.7463134545685701E-3</v>
      </c>
      <c r="AB936">
        <v>1.1504356705467171</v>
      </c>
      <c r="AC936">
        <v>3.3134196772905062E-4</v>
      </c>
      <c r="AD936">
        <v>0.16337348484333708</v>
      </c>
      <c r="AE936">
        <v>0.15200125266835812</v>
      </c>
    </row>
    <row r="937" spans="23:31" x14ac:dyDescent="0.25">
      <c r="W937">
        <v>75</v>
      </c>
      <c r="X937">
        <v>71.37836372340729</v>
      </c>
      <c r="Y937">
        <v>3.6216362765927101</v>
      </c>
      <c r="Z937">
        <v>3.6324842684972367</v>
      </c>
      <c r="AA937">
        <v>2.9863837260375031E-3</v>
      </c>
      <c r="AB937">
        <v>0.98415863411600957</v>
      </c>
      <c r="AC937">
        <v>2.6374367264089273E-4</v>
      </c>
      <c r="AD937">
        <v>0.16337348484333708</v>
      </c>
      <c r="AE937">
        <v>0.15354469166891199</v>
      </c>
    </row>
    <row r="938" spans="23:31" x14ac:dyDescent="0.25">
      <c r="W938">
        <v>74.3</v>
      </c>
      <c r="X938">
        <v>71.532793557946377</v>
      </c>
      <c r="Y938">
        <v>2.7672064420536202</v>
      </c>
      <c r="Z938">
        <v>2.7799329551475722</v>
      </c>
      <c r="AA938">
        <v>4.5779928146779305E-3</v>
      </c>
      <c r="AB938">
        <v>0.75257322167246676</v>
      </c>
      <c r="AC938">
        <v>2.3679509686911609E-4</v>
      </c>
      <c r="AD938">
        <v>0.16337348484333708</v>
      </c>
      <c r="AE938">
        <v>0.15438483229591399</v>
      </c>
    </row>
    <row r="939" spans="23:31" x14ac:dyDescent="0.25">
      <c r="W939">
        <v>73.400000000000006</v>
      </c>
      <c r="X939">
        <v>72.593569456844875</v>
      </c>
      <c r="Y939">
        <v>0.80643054315513041</v>
      </c>
      <c r="Z939">
        <v>0.80951240934520285</v>
      </c>
      <c r="AA939">
        <v>3.8070647892367777E-3</v>
      </c>
      <c r="AB939">
        <v>0.21923306692221625</v>
      </c>
      <c r="AC939">
        <v>1.6698068714860674E-5</v>
      </c>
      <c r="AD939">
        <v>0.16337348484333708</v>
      </c>
      <c r="AE939">
        <v>0.15544865172484504</v>
      </c>
    </row>
    <row r="940" spans="23:31" x14ac:dyDescent="0.25">
      <c r="W940">
        <v>72.7</v>
      </c>
      <c r="X940">
        <v>70.269686074363975</v>
      </c>
      <c r="Y940">
        <v>2.4303139256360282</v>
      </c>
      <c r="Z940">
        <v>2.4365326504494504</v>
      </c>
      <c r="AA940">
        <v>2.5522846214552633E-3</v>
      </c>
      <c r="AB940">
        <v>0.66027997391688509</v>
      </c>
      <c r="AC940">
        <v>1.0141507811602419E-4</v>
      </c>
      <c r="AD940">
        <v>0.16337348484333708</v>
      </c>
      <c r="AE940">
        <v>0.16143555844234228</v>
      </c>
    </row>
    <row r="941" spans="23:31" x14ac:dyDescent="0.25">
      <c r="W941">
        <v>71.8</v>
      </c>
      <c r="X941">
        <v>69.92542917573752</v>
      </c>
      <c r="Y941">
        <v>1.8745708242624772</v>
      </c>
      <c r="Z941">
        <v>1.8794492256535875</v>
      </c>
      <c r="AA941">
        <v>2.5956547931799794E-3</v>
      </c>
      <c r="AB941">
        <v>0.50930395122321981</v>
      </c>
      <c r="AC941">
        <v>6.1367309520962446E-5</v>
      </c>
      <c r="AD941">
        <v>0.16337348484333708</v>
      </c>
      <c r="AE941">
        <v>0.16162046875879002</v>
      </c>
    </row>
    <row r="942" spans="23:31" x14ac:dyDescent="0.25">
      <c r="W942">
        <v>78</v>
      </c>
      <c r="X942">
        <v>69.540979263236309</v>
      </c>
      <c r="Y942">
        <v>8.4590207367636907</v>
      </c>
      <c r="Z942">
        <v>8.4806325973209056</v>
      </c>
      <c r="AA942">
        <v>2.5483783561203871E-3</v>
      </c>
      <c r="AB942">
        <v>2.2981850187170756</v>
      </c>
      <c r="AC942">
        <v>1.2267310573436628E-3</v>
      </c>
      <c r="AD942">
        <v>0.16337348484333708</v>
      </c>
      <c r="AE942">
        <v>0.16615214459338398</v>
      </c>
    </row>
    <row r="943" spans="23:31" x14ac:dyDescent="0.25">
      <c r="W943">
        <v>69.599999999999994</v>
      </c>
      <c r="X943">
        <v>69.063730267618126</v>
      </c>
      <c r="Y943">
        <v>0.53626973238186793</v>
      </c>
      <c r="Z943">
        <v>0.53795982000124809</v>
      </c>
      <c r="AA943">
        <v>3.1416614336986339E-3</v>
      </c>
      <c r="AB943">
        <v>0.14573953604716899</v>
      </c>
      <c r="AC943">
        <v>6.0853843724332623E-6</v>
      </c>
      <c r="AD943">
        <v>0.16337348484333708</v>
      </c>
      <c r="AE943">
        <v>0.16834676907533375</v>
      </c>
    </row>
    <row r="944" spans="23:31" x14ac:dyDescent="0.25">
      <c r="W944">
        <v>57.8</v>
      </c>
      <c r="X944">
        <v>61.163965171122825</v>
      </c>
      <c r="Y944">
        <v>-3.3639651711228282</v>
      </c>
      <c r="Z944">
        <v>-3.3727618386203915</v>
      </c>
      <c r="AA944">
        <v>2.6081496169792946E-3</v>
      </c>
      <c r="AB944">
        <v>-0.91396465942047922</v>
      </c>
      <c r="AC944">
        <v>1.9857876563069047E-4</v>
      </c>
      <c r="AD944">
        <v>0.16337348484333708</v>
      </c>
      <c r="AE944">
        <v>0.16899734239978317</v>
      </c>
    </row>
    <row r="945" spans="23:31" x14ac:dyDescent="0.25">
      <c r="W945">
        <v>57.3</v>
      </c>
      <c r="X945">
        <v>60.691686051870938</v>
      </c>
      <c r="Y945">
        <v>-3.3916860518709413</v>
      </c>
      <c r="Z945">
        <v>-3.4007013502194852</v>
      </c>
      <c r="AA945">
        <v>2.6510114885460847E-3</v>
      </c>
      <c r="AB945">
        <v>-0.92151602016956802</v>
      </c>
      <c r="AC945">
        <v>2.0520009258849818E-4</v>
      </c>
      <c r="AD945">
        <v>0.16337348484333708</v>
      </c>
      <c r="AE945">
        <v>0.16903923878242474</v>
      </c>
    </row>
    <row r="946" spans="23:31" x14ac:dyDescent="0.25">
      <c r="W946">
        <v>57.2</v>
      </c>
      <c r="X946">
        <v>64.775526624522769</v>
      </c>
      <c r="Y946">
        <v>-7.5755266245227659</v>
      </c>
      <c r="Z946">
        <v>-7.6154136638819381</v>
      </c>
      <c r="AA946">
        <v>5.2376720582293628E-3</v>
      </c>
      <c r="AB946">
        <v>-2.0609335249350731</v>
      </c>
      <c r="AC946">
        <v>2.0330790047625512E-3</v>
      </c>
      <c r="AD946">
        <v>0.16337348484333708</v>
      </c>
      <c r="AE946">
        <v>0.17257403473596516</v>
      </c>
    </row>
    <row r="947" spans="23:31" x14ac:dyDescent="0.25">
      <c r="W947">
        <v>56.8</v>
      </c>
      <c r="X947">
        <v>60.025229812924771</v>
      </c>
      <c r="Y947">
        <v>-3.2252298129247734</v>
      </c>
      <c r="Z947">
        <v>-3.2349274649797053</v>
      </c>
      <c r="AA947">
        <v>2.9977958269281606E-3</v>
      </c>
      <c r="AB947">
        <v>-0.87644249482212333</v>
      </c>
      <c r="AC947">
        <v>2.0997137872802579E-4</v>
      </c>
      <c r="AD947">
        <v>0.18343432307636306</v>
      </c>
      <c r="AE947">
        <v>0.17453050035420917</v>
      </c>
    </row>
    <row r="948" spans="23:31" x14ac:dyDescent="0.25">
      <c r="W948">
        <v>56.5</v>
      </c>
      <c r="X948">
        <v>59.108997597172063</v>
      </c>
      <c r="Y948">
        <v>-2.6089975971720634</v>
      </c>
      <c r="Z948">
        <v>-2.6188219715600098</v>
      </c>
      <c r="AA948">
        <v>3.7514479772359955E-3</v>
      </c>
      <c r="AB948">
        <v>-0.70925212809276184</v>
      </c>
      <c r="AC948">
        <v>1.7220265182895378E-4</v>
      </c>
      <c r="AD948">
        <v>0.18343432307636306</v>
      </c>
      <c r="AE948">
        <v>0.17522695565047283</v>
      </c>
    </row>
    <row r="949" spans="23:31" x14ac:dyDescent="0.25">
      <c r="W949">
        <v>56</v>
      </c>
      <c r="X949">
        <v>58.758270028229219</v>
      </c>
      <c r="Y949">
        <v>-2.7582700282292194</v>
      </c>
      <c r="Z949">
        <v>-2.7697795103550575</v>
      </c>
      <c r="AA949">
        <v>4.155378463452257E-3</v>
      </c>
      <c r="AB949">
        <v>-0.74998367355342443</v>
      </c>
      <c r="AC949">
        <v>2.1336831911373692E-4</v>
      </c>
      <c r="AD949">
        <v>0.18343432307636306</v>
      </c>
      <c r="AE949">
        <v>0.17879852292646811</v>
      </c>
    </row>
    <row r="950" spans="23:31" x14ac:dyDescent="0.25">
      <c r="W950">
        <v>55.5</v>
      </c>
      <c r="X950">
        <v>57.941603578343049</v>
      </c>
      <c r="Y950">
        <v>-2.4416035783430488</v>
      </c>
      <c r="Z950">
        <v>-2.4538215584893237</v>
      </c>
      <c r="AA950">
        <v>4.9791640732831368E-3</v>
      </c>
      <c r="AB950">
        <v>-0.66415567096519901</v>
      </c>
      <c r="AC950">
        <v>2.0066486982813167E-4</v>
      </c>
      <c r="AD950">
        <v>0.18343432307636306</v>
      </c>
      <c r="AE950">
        <v>0.17996380267250445</v>
      </c>
    </row>
    <row r="951" spans="23:31" x14ac:dyDescent="0.25">
      <c r="W951">
        <v>55</v>
      </c>
      <c r="X951">
        <v>58.391008097421036</v>
      </c>
      <c r="Y951">
        <v>-3.3910080974210359</v>
      </c>
      <c r="Z951">
        <v>-3.4054632479459599</v>
      </c>
      <c r="AA951">
        <v>4.2446943256963287E-3</v>
      </c>
      <c r="AB951">
        <v>-0.92206881109929151</v>
      </c>
      <c r="AC951">
        <v>3.2947902416469328E-4</v>
      </c>
      <c r="AD951">
        <v>0.18343432307636306</v>
      </c>
      <c r="AE951">
        <v>0.18145620037717461</v>
      </c>
    </row>
    <row r="952" spans="23:31" x14ac:dyDescent="0.25">
      <c r="W952">
        <v>54.3</v>
      </c>
      <c r="X952">
        <v>57.855320606030851</v>
      </c>
      <c r="Y952">
        <v>-3.555320606030854</v>
      </c>
      <c r="Z952">
        <v>-3.5714141650724542</v>
      </c>
      <c r="AA952">
        <v>4.5062147087250089E-3</v>
      </c>
      <c r="AB952">
        <v>-0.96687496073069934</v>
      </c>
      <c r="AC952">
        <v>3.8469918773660102E-4</v>
      </c>
      <c r="AD952">
        <v>0.18343432307636306</v>
      </c>
      <c r="AE952">
        <v>0.18303206326614818</v>
      </c>
    </row>
    <row r="953" spans="23:31" x14ac:dyDescent="0.25">
      <c r="W953">
        <v>53.6</v>
      </c>
      <c r="X953">
        <v>62.034023360193387</v>
      </c>
      <c r="Y953">
        <v>-8.4340233601933861</v>
      </c>
      <c r="Z953">
        <v>-8.5021400530738376</v>
      </c>
      <c r="AA953">
        <v>8.0117114579666242E-3</v>
      </c>
      <c r="AB953">
        <v>-2.2976948305815106</v>
      </c>
      <c r="AC953">
        <v>3.8762409389451104E-3</v>
      </c>
      <c r="AD953">
        <v>0.18343432307636306</v>
      </c>
      <c r="AE953">
        <v>0.18472901247807269</v>
      </c>
    </row>
    <row r="954" spans="23:31" x14ac:dyDescent="0.25">
      <c r="W954">
        <v>52.8</v>
      </c>
      <c r="X954">
        <v>56.628279055370527</v>
      </c>
      <c r="Y954">
        <v>-3.8282790553705297</v>
      </c>
      <c r="Z954">
        <v>-3.8478300338132527</v>
      </c>
      <c r="AA954">
        <v>5.0810400331912711E-3</v>
      </c>
      <c r="AB954">
        <v>-1.041407146865424</v>
      </c>
      <c r="AC954">
        <v>5.0351606540856503E-4</v>
      </c>
      <c r="AD954">
        <v>0.18343432307636306</v>
      </c>
      <c r="AE954">
        <v>0.18483464670634406</v>
      </c>
    </row>
    <row r="955" spans="23:31" x14ac:dyDescent="0.25">
      <c r="W955">
        <v>52</v>
      </c>
      <c r="X955">
        <v>55.867437339608514</v>
      </c>
      <c r="Y955">
        <v>-3.8674373396085144</v>
      </c>
      <c r="Z955">
        <v>-3.8887982912115149</v>
      </c>
      <c r="AA955">
        <v>5.4929440931091389E-3</v>
      </c>
      <c r="AB955">
        <v>-1.0522772269320573</v>
      </c>
      <c r="AC955">
        <v>5.5598742385653903E-4</v>
      </c>
      <c r="AD955">
        <v>0.18343432307636306</v>
      </c>
      <c r="AE955">
        <v>0.18489467889873901</v>
      </c>
    </row>
    <row r="956" spans="23:31" x14ac:dyDescent="0.25">
      <c r="W956">
        <v>81.400000000000006</v>
      </c>
      <c r="X956">
        <v>77.806803421578053</v>
      </c>
      <c r="Y956">
        <v>3.5931965784219528</v>
      </c>
      <c r="Z956">
        <v>3.6092382456934899</v>
      </c>
      <c r="AA956">
        <v>4.4446130123639519E-3</v>
      </c>
      <c r="AB956">
        <v>0.97714515758029485</v>
      </c>
      <c r="AC956">
        <v>3.8751990039949966E-4</v>
      </c>
      <c r="AD956">
        <v>0.18343432307636306</v>
      </c>
      <c r="AE956">
        <v>0.18542684911304991</v>
      </c>
    </row>
    <row r="957" spans="23:31" x14ac:dyDescent="0.25">
      <c r="W957">
        <v>81.099999999999994</v>
      </c>
      <c r="X957">
        <v>77.448264091107418</v>
      </c>
      <c r="Y957">
        <v>3.6517359088925758</v>
      </c>
      <c r="Z957">
        <v>3.668276206892898</v>
      </c>
      <c r="AA957">
        <v>4.5090110633549552E-3</v>
      </c>
      <c r="AB957">
        <v>0.99309664690217658</v>
      </c>
      <c r="AC957">
        <v>4.0610123816500608E-4</v>
      </c>
      <c r="AD957">
        <v>0.18343432307636306</v>
      </c>
      <c r="AE957">
        <v>0.18554813371067566</v>
      </c>
    </row>
    <row r="958" spans="23:31" x14ac:dyDescent="0.25">
      <c r="W958">
        <v>81</v>
      </c>
      <c r="X958">
        <v>77.324331470443852</v>
      </c>
      <c r="Y958">
        <v>3.6756685295561482</v>
      </c>
      <c r="Z958">
        <v>3.6917933274686305</v>
      </c>
      <c r="AA958">
        <v>4.3677412255210234E-3</v>
      </c>
      <c r="AB958">
        <v>0.99953425011169694</v>
      </c>
      <c r="AC958">
        <v>3.9843787562686867E-4</v>
      </c>
      <c r="AD958">
        <v>0.18343432307636306</v>
      </c>
      <c r="AE958">
        <v>0.18657985569065622</v>
      </c>
    </row>
    <row r="959" spans="23:31" x14ac:dyDescent="0.25">
      <c r="W959">
        <v>87</v>
      </c>
      <c r="X959">
        <v>79.457727196019235</v>
      </c>
      <c r="Y959">
        <v>7.5422728039807652</v>
      </c>
      <c r="Z959">
        <v>7.5742655665536489</v>
      </c>
      <c r="AA959">
        <v>4.2238765318917074E-3</v>
      </c>
      <c r="AB959">
        <v>2.0508419978672925</v>
      </c>
      <c r="AC959">
        <v>1.6218893649226876E-3</v>
      </c>
      <c r="AD959">
        <v>0.18343432307636306</v>
      </c>
      <c r="AE959">
        <v>0.19040262742228592</v>
      </c>
    </row>
    <row r="960" spans="23:31" x14ac:dyDescent="0.25">
      <c r="W960">
        <v>83</v>
      </c>
      <c r="X960">
        <v>76.99501430650227</v>
      </c>
      <c r="Y960">
        <v>6.0049856934977299</v>
      </c>
      <c r="Z960">
        <v>6.0257461622826156</v>
      </c>
      <c r="AA960">
        <v>3.4452942798730147E-3</v>
      </c>
      <c r="AB960">
        <v>1.6321956834667366</v>
      </c>
      <c r="AC960">
        <v>8.3729200378682774E-4</v>
      </c>
      <c r="AD960">
        <v>0.18343432307636306</v>
      </c>
      <c r="AE960">
        <v>0.19255543561779725</v>
      </c>
    </row>
    <row r="961" spans="23:31" x14ac:dyDescent="0.25">
      <c r="W961">
        <v>82</v>
      </c>
      <c r="X961">
        <v>76.744946921540276</v>
      </c>
      <c r="Y961">
        <v>5.2550530784597242</v>
      </c>
      <c r="Z961">
        <v>5.2733611092742052</v>
      </c>
      <c r="AA961">
        <v>3.4717953948348703E-3</v>
      </c>
      <c r="AB961">
        <v>1.4283779242324872</v>
      </c>
      <c r="AC961">
        <v>6.4618682884094779E-4</v>
      </c>
      <c r="AD961">
        <v>0.18343432307636306</v>
      </c>
      <c r="AE961">
        <v>0.19634486671843576</v>
      </c>
    </row>
    <row r="962" spans="23:31" x14ac:dyDescent="0.25">
      <c r="W962">
        <v>80</v>
      </c>
      <c r="X962">
        <v>77.918747548172007</v>
      </c>
      <c r="Y962">
        <v>2.0812524518279929</v>
      </c>
      <c r="Z962">
        <v>2.0878402182362947</v>
      </c>
      <c r="AA962">
        <v>3.1553019961761859E-3</v>
      </c>
      <c r="AB962">
        <v>0.56561618843039185</v>
      </c>
      <c r="AC962">
        <v>9.2058608367167358E-5</v>
      </c>
      <c r="AD962">
        <v>0.206674078513852</v>
      </c>
      <c r="AE962">
        <v>0.19786001843454104</v>
      </c>
    </row>
    <row r="963" spans="23:31" x14ac:dyDescent="0.25">
      <c r="W963">
        <v>79.599999999999994</v>
      </c>
      <c r="X963">
        <v>77.638961459602413</v>
      </c>
      <c r="Y963">
        <v>1.9610385403975812</v>
      </c>
      <c r="Z963">
        <v>1.967089317372114</v>
      </c>
      <c r="AA963">
        <v>3.0760052027625404E-3</v>
      </c>
      <c r="AB963">
        <v>0.53292479210336408</v>
      </c>
      <c r="AC963">
        <v>7.9664379968410754E-5</v>
      </c>
      <c r="AD963">
        <v>0.206674078513852</v>
      </c>
      <c r="AE963">
        <v>0.19915992811409924</v>
      </c>
    </row>
    <row r="964" spans="23:31" x14ac:dyDescent="0.25">
      <c r="W964">
        <v>79.3</v>
      </c>
      <c r="X964">
        <v>78.037703883804056</v>
      </c>
      <c r="Y964">
        <v>1.262296116195941</v>
      </c>
      <c r="Z964">
        <v>1.2659325290472054</v>
      </c>
      <c r="AA964">
        <v>2.872517111158465E-3</v>
      </c>
      <c r="AB964">
        <v>0.34300205561484715</v>
      </c>
      <c r="AC964">
        <v>3.0811489832487045E-5</v>
      </c>
      <c r="AD964">
        <v>0.206674078513852</v>
      </c>
      <c r="AE964">
        <v>0.19961392178302667</v>
      </c>
    </row>
    <row r="965" spans="23:31" x14ac:dyDescent="0.25">
      <c r="W965">
        <v>79</v>
      </c>
      <c r="X965">
        <v>78.265296419926486</v>
      </c>
      <c r="Y965">
        <v>0.73470358007351422</v>
      </c>
      <c r="Z965">
        <v>0.73662738180320275</v>
      </c>
      <c r="AA965">
        <v>2.6116348335776434E-3</v>
      </c>
      <c r="AB965">
        <v>0.19961392178302667</v>
      </c>
      <c r="AC965">
        <v>9.4849953894455621E-6</v>
      </c>
      <c r="AD965">
        <v>0.206674078513852</v>
      </c>
      <c r="AE965">
        <v>0.20066780557308506</v>
      </c>
    </row>
    <row r="966" spans="23:31" x14ac:dyDescent="0.25">
      <c r="W966">
        <v>78.7</v>
      </c>
      <c r="X966">
        <v>76.538116596703659</v>
      </c>
      <c r="Y966">
        <v>2.1618834032963434</v>
      </c>
      <c r="Z966">
        <v>2.1678133970842737</v>
      </c>
      <c r="AA966">
        <v>2.7354724331480414E-3</v>
      </c>
      <c r="AB966">
        <v>0.58740535543976802</v>
      </c>
      <c r="AC966">
        <v>8.6040928665221081E-5</v>
      </c>
      <c r="AD966">
        <v>0.206674078513852</v>
      </c>
      <c r="AE966">
        <v>0.20334320878791098</v>
      </c>
    </row>
    <row r="967" spans="23:31" x14ac:dyDescent="0.25">
      <c r="W967">
        <v>78.5</v>
      </c>
      <c r="X967">
        <v>76.813161979166821</v>
      </c>
      <c r="Y967">
        <v>1.6868380208331786</v>
      </c>
      <c r="Z967">
        <v>1.6910180700179467</v>
      </c>
      <c r="AA967">
        <v>2.4719127837156633E-3</v>
      </c>
      <c r="AB967">
        <v>0.45827021865123835</v>
      </c>
      <c r="AC967">
        <v>4.7310615188428342E-5</v>
      </c>
      <c r="AD967">
        <v>0.206674078513852</v>
      </c>
      <c r="AE967">
        <v>0.2040251323951528</v>
      </c>
    </row>
    <row r="968" spans="23:31" x14ac:dyDescent="0.25">
      <c r="W968">
        <v>63</v>
      </c>
      <c r="X968">
        <v>66.454613050732704</v>
      </c>
      <c r="Y968">
        <v>-3.4546130507327035</v>
      </c>
      <c r="Z968">
        <v>-3.4762127671268672</v>
      </c>
      <c r="AA968">
        <v>6.2135772005742374E-3</v>
      </c>
      <c r="AB968">
        <v>-0.94029407567139645</v>
      </c>
      <c r="AC968">
        <v>5.0255471745517361E-4</v>
      </c>
      <c r="AD968">
        <v>0.206674078513852</v>
      </c>
      <c r="AE968">
        <v>0.20420857691900382</v>
      </c>
    </row>
    <row r="969" spans="23:31" x14ac:dyDescent="0.25">
      <c r="W969">
        <v>62.7</v>
      </c>
      <c r="X969">
        <v>65.278669266620128</v>
      </c>
      <c r="Y969">
        <v>-2.5786692666201247</v>
      </c>
      <c r="Z969">
        <v>-2.6101369740816693</v>
      </c>
      <c r="AA969">
        <v>1.2055960194431854E-2</v>
      </c>
      <c r="AB969">
        <v>-0.70394753337859883</v>
      </c>
      <c r="AC969">
        <v>5.4974002485031197E-4</v>
      </c>
      <c r="AD969">
        <v>0.206674078513852</v>
      </c>
      <c r="AE969">
        <v>0.20556575654243953</v>
      </c>
    </row>
    <row r="970" spans="23:31" x14ac:dyDescent="0.25">
      <c r="W970">
        <v>62.5</v>
      </c>
      <c r="X970">
        <v>64.725790096692705</v>
      </c>
      <c r="Y970">
        <v>-2.2257900966927053</v>
      </c>
      <c r="Z970">
        <v>-2.2538177419940979</v>
      </c>
      <c r="AA970">
        <v>1.2435630787338519E-2</v>
      </c>
      <c r="AB970">
        <v>-0.60773230076808027</v>
      </c>
      <c r="AC970">
        <v>4.2279939865796424E-4</v>
      </c>
      <c r="AD970">
        <v>0.206674078513852</v>
      </c>
      <c r="AE970">
        <v>0.20569240981846559</v>
      </c>
    </row>
    <row r="971" spans="23:31" x14ac:dyDescent="0.25">
      <c r="W971">
        <v>62.2</v>
      </c>
      <c r="X971">
        <v>62.670525616313874</v>
      </c>
      <c r="Y971">
        <v>-0.47052561631387135</v>
      </c>
      <c r="Z971">
        <v>-0.47219463945688744</v>
      </c>
      <c r="AA971">
        <v>3.5346084083799582E-3</v>
      </c>
      <c r="AB971">
        <v>-0.12789777297811303</v>
      </c>
      <c r="AC971">
        <v>5.2748773515776619E-6</v>
      </c>
      <c r="AD971">
        <v>0.206674078513852</v>
      </c>
      <c r="AE971">
        <v>0.20803392616061397</v>
      </c>
    </row>
    <row r="972" spans="23:31" x14ac:dyDescent="0.25">
      <c r="W972">
        <v>62</v>
      </c>
      <c r="X972">
        <v>62.243002030971418</v>
      </c>
      <c r="Y972">
        <v>-0.24300203097141804</v>
      </c>
      <c r="Z972">
        <v>-0.24386311200598954</v>
      </c>
      <c r="AA972">
        <v>3.5310015831879231E-3</v>
      </c>
      <c r="AB972">
        <v>-6.6052434267456619E-2</v>
      </c>
      <c r="AC972">
        <v>1.4054619436097628E-6</v>
      </c>
      <c r="AD972">
        <v>0.22222871718700732</v>
      </c>
      <c r="AE972">
        <v>0.20922042947763317</v>
      </c>
    </row>
    <row r="973" spans="23:31" x14ac:dyDescent="0.25">
      <c r="W973">
        <v>61.7</v>
      </c>
      <c r="X973">
        <v>61.695052513863217</v>
      </c>
      <c r="Y973">
        <v>4.9474861367855283E-3</v>
      </c>
      <c r="Z973">
        <v>4.9667160149695633E-3</v>
      </c>
      <c r="AA973">
        <v>3.8717490849474344E-3</v>
      </c>
      <c r="AB973">
        <v>1.3450479824951103E-3</v>
      </c>
      <c r="AC973">
        <v>6.3925600569503976E-10</v>
      </c>
      <c r="AD973">
        <v>0.22222871718700732</v>
      </c>
      <c r="AE973">
        <v>0.2102680593107451</v>
      </c>
    </row>
    <row r="974" spans="23:31" x14ac:dyDescent="0.25">
      <c r="W974">
        <v>61.4</v>
      </c>
      <c r="X974">
        <v>61.868554333029195</v>
      </c>
      <c r="Y974">
        <v>-0.46855433302919636</v>
      </c>
      <c r="Z974">
        <v>-0.47034516036953278</v>
      </c>
      <c r="AA974">
        <v>3.8074747892139086E-3</v>
      </c>
      <c r="AB974">
        <v>-0.12737938246535252</v>
      </c>
      <c r="AC974">
        <v>5.6376661023600672E-6</v>
      </c>
      <c r="AD974">
        <v>0.22222871718700732</v>
      </c>
      <c r="AE974">
        <v>0.21114030170094866</v>
      </c>
    </row>
    <row r="975" spans="23:31" x14ac:dyDescent="0.25">
      <c r="W975">
        <v>61.2</v>
      </c>
      <c r="X975">
        <v>62.012235584084785</v>
      </c>
      <c r="Y975">
        <v>-0.81223558408478169</v>
      </c>
      <c r="Z975">
        <v>-0.81500633799296907</v>
      </c>
      <c r="AA975">
        <v>3.3996716087037141E-3</v>
      </c>
      <c r="AB975">
        <v>-0.22076606620632613</v>
      </c>
      <c r="AC975">
        <v>1.5114295034068017E-5</v>
      </c>
      <c r="AD975">
        <v>0.22222871718700732</v>
      </c>
      <c r="AE975">
        <v>0.2128337576071144</v>
      </c>
    </row>
    <row r="976" spans="23:31" x14ac:dyDescent="0.25">
      <c r="W976">
        <v>69</v>
      </c>
      <c r="X976">
        <v>61.519134603415559</v>
      </c>
      <c r="Y976">
        <v>7.4808653965844414</v>
      </c>
      <c r="Z976">
        <v>7.5091380773538035</v>
      </c>
      <c r="AA976">
        <v>3.7651033285203295E-3</v>
      </c>
      <c r="AB976">
        <v>2.0336761028285917</v>
      </c>
      <c r="AC976">
        <v>1.4209736826970253E-3</v>
      </c>
      <c r="AD976">
        <v>0.22222871718700732</v>
      </c>
      <c r="AE976">
        <v>0.2173953436787058</v>
      </c>
    </row>
    <row r="977" spans="23:31" x14ac:dyDescent="0.25">
      <c r="W977">
        <v>66</v>
      </c>
      <c r="X977">
        <v>61.542461550200315</v>
      </c>
      <c r="Y977">
        <v>4.4575384497996851</v>
      </c>
      <c r="Z977">
        <v>4.4725207202697419</v>
      </c>
      <c r="AA977">
        <v>3.3498493147625973E-3</v>
      </c>
      <c r="AB977">
        <v>1.211531051719154</v>
      </c>
      <c r="AC977">
        <v>4.4849638733096287E-4</v>
      </c>
      <c r="AD977">
        <v>0.22222871718700732</v>
      </c>
      <c r="AE977">
        <v>0.21745969285811048</v>
      </c>
    </row>
    <row r="978" spans="23:31" x14ac:dyDescent="0.25">
      <c r="W978">
        <v>74.2</v>
      </c>
      <c r="X978">
        <v>74.559115579058172</v>
      </c>
      <c r="Y978">
        <v>-0.35911557905816949</v>
      </c>
      <c r="Z978">
        <v>-0.36092213241535376</v>
      </c>
      <c r="AA978">
        <v>5.0053825879252268E-3</v>
      </c>
      <c r="AB978">
        <v>-9.7686533906849643E-2</v>
      </c>
      <c r="AC978">
        <v>4.3640856212970889E-6</v>
      </c>
      <c r="AD978">
        <v>0.22222871718700732</v>
      </c>
      <c r="AE978">
        <v>0.21842430918941047</v>
      </c>
    </row>
    <row r="979" spans="23:31" x14ac:dyDescent="0.25">
      <c r="W979">
        <v>74.099999999999994</v>
      </c>
      <c r="X979">
        <v>74.904867350359964</v>
      </c>
      <c r="Y979">
        <v>-0.80486735035997015</v>
      </c>
      <c r="Z979">
        <v>-0.80892243303776468</v>
      </c>
      <c r="AA979">
        <v>5.0129437782686932E-3</v>
      </c>
      <c r="AB979">
        <v>-0.2189406559939735</v>
      </c>
      <c r="AC979">
        <v>2.1955106476875303E-5</v>
      </c>
      <c r="AD979">
        <v>0.22222871718700732</v>
      </c>
      <c r="AE979">
        <v>0.21923306692221625</v>
      </c>
    </row>
    <row r="980" spans="23:31" x14ac:dyDescent="0.25">
      <c r="W980">
        <v>73.900000000000006</v>
      </c>
      <c r="X980">
        <v>74.290935300223936</v>
      </c>
      <c r="Y980">
        <v>-0.39093530022392997</v>
      </c>
      <c r="Z980">
        <v>-0.39274397388061288</v>
      </c>
      <c r="AA980">
        <v>4.6052231911147424E-3</v>
      </c>
      <c r="AB980">
        <v>-0.10632074935877978</v>
      </c>
      <c r="AC980">
        <v>4.7544326331653805E-6</v>
      </c>
      <c r="AD980">
        <v>0.22222871718700732</v>
      </c>
      <c r="AE980">
        <v>0.22253405139578747</v>
      </c>
    </row>
    <row r="981" spans="23:31" x14ac:dyDescent="0.25">
      <c r="W981">
        <v>73.599999999999994</v>
      </c>
      <c r="X981">
        <v>73.681164291566773</v>
      </c>
      <c r="Y981">
        <v>-8.1164291566778957E-2</v>
      </c>
      <c r="Z981">
        <v>-8.1361734442424449E-2</v>
      </c>
      <c r="AA981">
        <v>2.4267289408403565E-3</v>
      </c>
      <c r="AB981">
        <v>-2.2049737330661439E-2</v>
      </c>
      <c r="AC981">
        <v>1.075203379415448E-7</v>
      </c>
      <c r="AD981">
        <v>0.22222871718700732</v>
      </c>
      <c r="AE981">
        <v>0.22362483649141687</v>
      </c>
    </row>
    <row r="982" spans="23:31" x14ac:dyDescent="0.25">
      <c r="W982">
        <v>73.3</v>
      </c>
      <c r="X982">
        <v>71.943005835249153</v>
      </c>
      <c r="Y982">
        <v>1.3569941647508443</v>
      </c>
      <c r="Z982">
        <v>1.365372948207991</v>
      </c>
      <c r="AA982">
        <v>6.1366262369175334E-3</v>
      </c>
      <c r="AB982">
        <v>0.36933924503676208</v>
      </c>
      <c r="AC982">
        <v>7.6570452835946807E-5</v>
      </c>
      <c r="AD982">
        <v>0.22222871718700732</v>
      </c>
      <c r="AE982">
        <v>0.22419348973955588</v>
      </c>
    </row>
    <row r="983" spans="23:31" x14ac:dyDescent="0.25">
      <c r="W983">
        <v>72.8</v>
      </c>
      <c r="X983">
        <v>71.940271733586854</v>
      </c>
      <c r="Y983">
        <v>0.85972826641314271</v>
      </c>
      <c r="Z983">
        <v>0.86486125488029586</v>
      </c>
      <c r="AA983">
        <v>5.935042688281239E-3</v>
      </c>
      <c r="AB983">
        <v>0.23397240742384465</v>
      </c>
      <c r="AC983">
        <v>2.9712944029322043E-5</v>
      </c>
      <c r="AD983">
        <v>0.22222871718700732</v>
      </c>
      <c r="AE983">
        <v>0.22419917150308125</v>
      </c>
    </row>
    <row r="984" spans="23:31" x14ac:dyDescent="0.25">
      <c r="W984">
        <v>72.7</v>
      </c>
      <c r="X984">
        <v>72.417941028293271</v>
      </c>
      <c r="Y984">
        <v>0.28205897170673211</v>
      </c>
      <c r="Z984">
        <v>0.28280838212778292</v>
      </c>
      <c r="AA984">
        <v>2.649887586106165E-3</v>
      </c>
      <c r="AB984">
        <v>7.6634956960536155E-2</v>
      </c>
      <c r="AC984">
        <v>1.4185379540861529E-6</v>
      </c>
      <c r="AD984">
        <v>0.22222871718700732</v>
      </c>
      <c r="AE984">
        <v>0.22529866516150002</v>
      </c>
    </row>
    <row r="985" spans="23:31" x14ac:dyDescent="0.25">
      <c r="W985">
        <v>72.900000000000006</v>
      </c>
      <c r="X985">
        <v>72.433694819606828</v>
      </c>
      <c r="Y985">
        <v>0.46630518039317792</v>
      </c>
      <c r="Z985">
        <v>0.46737254675582562</v>
      </c>
      <c r="AA985">
        <v>2.2837592196043744E-3</v>
      </c>
      <c r="AB985">
        <v>0.12667109926866149</v>
      </c>
      <c r="AC985">
        <v>3.3389173250918056E-6</v>
      </c>
      <c r="AD985">
        <v>0.22222871718700732</v>
      </c>
      <c r="AE985">
        <v>0.23002050360269738</v>
      </c>
    </row>
    <row r="986" spans="23:31" x14ac:dyDescent="0.25">
      <c r="W986">
        <v>71.8</v>
      </c>
      <c r="X986">
        <v>72.103869414528717</v>
      </c>
      <c r="Y986">
        <v>-0.30386941452871952</v>
      </c>
      <c r="Z986">
        <v>-0.30450098289200866</v>
      </c>
      <c r="AA986">
        <v>2.0741094406130176E-3</v>
      </c>
      <c r="AB986">
        <v>-8.2536997073724055E-2</v>
      </c>
      <c r="AC986">
        <v>1.2871762585988078E-6</v>
      </c>
      <c r="AD986">
        <v>0.22222871718700732</v>
      </c>
      <c r="AE986">
        <v>0.23053850454882674</v>
      </c>
    </row>
    <row r="987" spans="23:31" x14ac:dyDescent="0.25">
      <c r="W987">
        <v>72.099999999999994</v>
      </c>
      <c r="X987">
        <v>71.540327958481669</v>
      </c>
      <c r="Y987">
        <v>0.55967204151832561</v>
      </c>
      <c r="Z987">
        <v>0.56071100734125423</v>
      </c>
      <c r="AA987">
        <v>1.8529435115804719E-3</v>
      </c>
      <c r="AB987">
        <v>0.15200125266835812</v>
      </c>
      <c r="AC987">
        <v>3.8991442136140191E-6</v>
      </c>
      <c r="AD987">
        <v>0.22222871718700732</v>
      </c>
      <c r="AE987">
        <v>0.23094249291230939</v>
      </c>
    </row>
    <row r="988" spans="23:31" x14ac:dyDescent="0.25">
      <c r="W988">
        <v>71.900000000000006</v>
      </c>
      <c r="X988">
        <v>71.254813852081952</v>
      </c>
      <c r="Y988">
        <v>0.64518614791805362</v>
      </c>
      <c r="Z988">
        <v>0.64639078546680651</v>
      </c>
      <c r="AA988">
        <v>1.863636635657744E-3</v>
      </c>
      <c r="AB988">
        <v>0.17522695565047283</v>
      </c>
      <c r="AC988">
        <v>5.211713190868159E-6</v>
      </c>
      <c r="AD988">
        <v>0.22222871718700732</v>
      </c>
      <c r="AE988">
        <v>0.23163735044360981</v>
      </c>
    </row>
    <row r="989" spans="23:31" x14ac:dyDescent="0.25">
      <c r="W989">
        <v>71.5</v>
      </c>
      <c r="X989">
        <v>70.817287837619034</v>
      </c>
      <c r="Y989">
        <v>0.68271216238096599</v>
      </c>
      <c r="Z989">
        <v>0.68404702321190314</v>
      </c>
      <c r="AA989">
        <v>1.9514167676287844E-3</v>
      </c>
      <c r="AB989">
        <v>0.18542684911304991</v>
      </c>
      <c r="AC989">
        <v>6.1115434239171981E-6</v>
      </c>
      <c r="AD989">
        <v>0.22222871718700732</v>
      </c>
      <c r="AE989">
        <v>0.23373907476239161</v>
      </c>
    </row>
    <row r="990" spans="23:31" x14ac:dyDescent="0.25">
      <c r="W990">
        <v>71.5</v>
      </c>
      <c r="X990">
        <v>70.319216116189565</v>
      </c>
      <c r="Y990">
        <v>1.1807838838104345</v>
      </c>
      <c r="Z990">
        <v>1.1828063752845424</v>
      </c>
      <c r="AA990">
        <v>1.7099091756460243E-3</v>
      </c>
      <c r="AB990">
        <v>0.32066595749556626</v>
      </c>
      <c r="AC990">
        <v>1.6011400140239099E-5</v>
      </c>
      <c r="AD990">
        <v>0.22222871718700732</v>
      </c>
      <c r="AE990">
        <v>0.23397240742384465</v>
      </c>
    </row>
    <row r="991" spans="23:31" x14ac:dyDescent="0.25">
      <c r="W991">
        <v>71.5</v>
      </c>
      <c r="X991">
        <v>69.852363855550394</v>
      </c>
      <c r="Y991">
        <v>1.6476361444496064</v>
      </c>
      <c r="Z991">
        <v>1.6507938829929429</v>
      </c>
      <c r="AA991">
        <v>1.9128605793061252E-3</v>
      </c>
      <c r="AB991">
        <v>0.44749470490448717</v>
      </c>
      <c r="AC991">
        <v>3.4889759352621592E-5</v>
      </c>
      <c r="AD991">
        <v>0.22222871718700732</v>
      </c>
      <c r="AE991">
        <v>0.23794551456013513</v>
      </c>
    </row>
    <row r="992" spans="23:31" x14ac:dyDescent="0.25">
      <c r="W992">
        <v>71</v>
      </c>
      <c r="X992">
        <v>69.686371844689049</v>
      </c>
      <c r="Y992">
        <v>1.3136281553109512</v>
      </c>
      <c r="Z992">
        <v>1.3160770497369896</v>
      </c>
      <c r="AA992">
        <v>1.8607530816843001E-3</v>
      </c>
      <c r="AB992">
        <v>0.35676948546259524</v>
      </c>
      <c r="AC992">
        <v>2.1571499407483874E-5</v>
      </c>
      <c r="AD992">
        <v>0.22222871718700732</v>
      </c>
      <c r="AE992">
        <v>0.23840650221186752</v>
      </c>
    </row>
    <row r="993" spans="23:31" x14ac:dyDescent="0.25">
      <c r="W993">
        <v>76.599999999999994</v>
      </c>
      <c r="X993">
        <v>73.886430601962189</v>
      </c>
      <c r="Y993">
        <v>2.7135693980378051</v>
      </c>
      <c r="Z993">
        <v>2.7190211369054538</v>
      </c>
      <c r="AA993">
        <v>2.0050373252525496E-3</v>
      </c>
      <c r="AB993">
        <v>0.73703409440501544</v>
      </c>
      <c r="AC993">
        <v>9.9214828043295446E-5</v>
      </c>
      <c r="AD993">
        <v>0.22222871718700732</v>
      </c>
      <c r="AE993">
        <v>0.2407799025844902</v>
      </c>
    </row>
    <row r="994" spans="23:31" x14ac:dyDescent="0.25">
      <c r="W994">
        <v>76.599999999999994</v>
      </c>
      <c r="X994">
        <v>75.564706444533897</v>
      </c>
      <c r="Y994">
        <v>1.0352935554660974</v>
      </c>
      <c r="Z994">
        <v>1.0382502265021145</v>
      </c>
      <c r="AA994">
        <v>2.8477441762612601E-3</v>
      </c>
      <c r="AB994">
        <v>0.28131545523512286</v>
      </c>
      <c r="AC994">
        <v>2.0546317566282464E-5</v>
      </c>
      <c r="AD994">
        <v>0.22222871718700732</v>
      </c>
      <c r="AE994">
        <v>0.24172144402591345</v>
      </c>
    </row>
    <row r="995" spans="23:31" x14ac:dyDescent="0.25">
      <c r="W995">
        <v>76.3</v>
      </c>
      <c r="X995">
        <v>73.608883746360192</v>
      </c>
      <c r="Y995">
        <v>2.6911162536398052</v>
      </c>
      <c r="Z995">
        <v>2.6972711204814601</v>
      </c>
      <c r="AA995">
        <v>2.2818866056563449E-3</v>
      </c>
      <c r="AB995">
        <v>0.73103698722840915</v>
      </c>
      <c r="AC995">
        <v>1.1111487931601725E-4</v>
      </c>
      <c r="AD995">
        <v>0.22222871718700732</v>
      </c>
      <c r="AE995">
        <v>0.24254718186535823</v>
      </c>
    </row>
    <row r="996" spans="23:31" x14ac:dyDescent="0.25">
      <c r="W996">
        <v>76.099999999999994</v>
      </c>
      <c r="X996">
        <v>71.826378747298705</v>
      </c>
      <c r="Y996">
        <v>4.2736212527012896</v>
      </c>
      <c r="Z996">
        <v>4.2915565825452688</v>
      </c>
      <c r="AA996">
        <v>4.1792131826785218E-3</v>
      </c>
      <c r="AB996">
        <v>1.1620271005472953</v>
      </c>
      <c r="AC996">
        <v>5.1517308556286274E-4</v>
      </c>
      <c r="AD996">
        <v>0.22222871718700732</v>
      </c>
      <c r="AE996">
        <v>0.24564375284342108</v>
      </c>
    </row>
    <row r="997" spans="23:31" x14ac:dyDescent="0.25">
      <c r="W997">
        <v>75.599999999999994</v>
      </c>
      <c r="X997">
        <v>71.514412308488232</v>
      </c>
      <c r="Y997">
        <v>4.0855876915117619</v>
      </c>
      <c r="Z997">
        <v>4.1027731508097247</v>
      </c>
      <c r="AA997">
        <v>4.1887422643792664E-3</v>
      </c>
      <c r="AB997">
        <v>1.1109047932716201</v>
      </c>
      <c r="AC997">
        <v>4.7191915249704446E-4</v>
      </c>
      <c r="AD997">
        <v>0.22222871718700732</v>
      </c>
      <c r="AE997">
        <v>0.24624515680202702</v>
      </c>
    </row>
    <row r="998" spans="23:31" x14ac:dyDescent="0.25">
      <c r="W998">
        <v>75.7</v>
      </c>
      <c r="X998">
        <v>75.519492279408439</v>
      </c>
      <c r="Y998">
        <v>0.18050772059156373</v>
      </c>
      <c r="Z998">
        <v>0.18099210486484196</v>
      </c>
      <c r="AA998">
        <v>2.6762729437448604E-3</v>
      </c>
      <c r="AB998">
        <v>4.9044298432943619E-2</v>
      </c>
      <c r="AC998">
        <v>5.8678448180313046E-7</v>
      </c>
      <c r="AD998">
        <v>0.22222871718700732</v>
      </c>
      <c r="AE998">
        <v>0.2488204843289645</v>
      </c>
    </row>
    <row r="999" spans="23:31" x14ac:dyDescent="0.25">
      <c r="W999">
        <v>75.599999999999994</v>
      </c>
      <c r="X999">
        <v>72.893551532879869</v>
      </c>
      <c r="Y999">
        <v>2.7064484671201257</v>
      </c>
      <c r="Z999">
        <v>2.7122103041120482</v>
      </c>
      <c r="AA999">
        <v>2.1244064234947815E-3</v>
      </c>
      <c r="AB999">
        <v>0.73514394059599475</v>
      </c>
      <c r="AC999">
        <v>1.0459556831429776E-4</v>
      </c>
      <c r="AD999">
        <v>0.22222871718700732</v>
      </c>
      <c r="AE999">
        <v>0.24893905376958086</v>
      </c>
    </row>
    <row r="1000" spans="23:31" x14ac:dyDescent="0.25">
      <c r="W1000">
        <v>76</v>
      </c>
      <c r="X1000">
        <v>72.86124813730838</v>
      </c>
      <c r="Y1000">
        <v>3.1387518626916204</v>
      </c>
      <c r="Z1000">
        <v>3.1453408458541645</v>
      </c>
      <c r="AA1000">
        <v>2.0948391559006971E-3</v>
      </c>
      <c r="AB1000">
        <v>0.85255649859798965</v>
      </c>
      <c r="AC1000">
        <v>1.3871233020871826E-4</v>
      </c>
      <c r="AD1000">
        <v>0.22222871718700732</v>
      </c>
      <c r="AE1000">
        <v>0.25356836295037966</v>
      </c>
    </row>
    <row r="1001" spans="23:31" x14ac:dyDescent="0.25">
      <c r="W1001">
        <v>75.8</v>
      </c>
      <c r="X1001">
        <v>73.033899105892019</v>
      </c>
      <c r="Y1001">
        <v>2.7661008941079785</v>
      </c>
      <c r="Z1001">
        <v>2.7714183387602134</v>
      </c>
      <c r="AA1001">
        <v>1.9186726802884919E-3</v>
      </c>
      <c r="AB1001">
        <v>0.75126969724405757</v>
      </c>
      <c r="AC1001">
        <v>9.863567465934119E-5</v>
      </c>
      <c r="AD1001">
        <v>0.22222871718700732</v>
      </c>
      <c r="AE1001">
        <v>0.25625194161167064</v>
      </c>
    </row>
    <row r="1002" spans="23:31" x14ac:dyDescent="0.25">
      <c r="W1002">
        <v>75.3</v>
      </c>
      <c r="X1002">
        <v>73.00480275276793</v>
      </c>
      <c r="Y1002">
        <v>2.2951972472320676</v>
      </c>
      <c r="Z1002">
        <v>2.2994173430466276</v>
      </c>
      <c r="AA1002">
        <v>1.8352891993788567E-3</v>
      </c>
      <c r="AB1002">
        <v>0.62334679167235962</v>
      </c>
      <c r="AC1002">
        <v>6.4948491564824912E-5</v>
      </c>
      <c r="AD1002">
        <v>0.22222871718700732</v>
      </c>
      <c r="AE1002">
        <v>0.25722996306839674</v>
      </c>
    </row>
    <row r="1003" spans="23:31" x14ac:dyDescent="0.25">
      <c r="W1003">
        <v>75.400000000000006</v>
      </c>
      <c r="X1003">
        <v>72.811045416527918</v>
      </c>
      <c r="Y1003">
        <v>2.5889545834720877</v>
      </c>
      <c r="Z1003">
        <v>2.5936600640335712</v>
      </c>
      <c r="AA1003">
        <v>1.8142240869342009E-3</v>
      </c>
      <c r="AB1003">
        <v>0.70312018138843035</v>
      </c>
      <c r="AC1003">
        <v>8.1685692200977663E-5</v>
      </c>
      <c r="AD1003">
        <v>0.22222871718700732</v>
      </c>
      <c r="AE1003">
        <v>0.25986698960933147</v>
      </c>
    </row>
    <row r="1004" spans="23:31" x14ac:dyDescent="0.25">
      <c r="W1004">
        <v>75</v>
      </c>
      <c r="X1004">
        <v>72.41785967855138</v>
      </c>
      <c r="Y1004">
        <v>2.5821403214486196</v>
      </c>
      <c r="Z1004">
        <v>2.5869638154677261</v>
      </c>
      <c r="AA1004">
        <v>1.8645386496208352E-3</v>
      </c>
      <c r="AB1004">
        <v>0.70128720756614027</v>
      </c>
      <c r="AC1004">
        <v>8.3518186089045522E-5</v>
      </c>
      <c r="AD1004">
        <v>0.22222871718700732</v>
      </c>
      <c r="AE1004">
        <v>0.25987608049880995</v>
      </c>
    </row>
    <row r="1005" spans="23:31" x14ac:dyDescent="0.25">
      <c r="W1005">
        <v>75</v>
      </c>
      <c r="X1005">
        <v>71.642630373132349</v>
      </c>
      <c r="Y1005">
        <v>3.3573696268676514</v>
      </c>
      <c r="Z1005">
        <v>3.3645094981246331</v>
      </c>
      <c r="AA1005">
        <v>2.1221135684019298E-3</v>
      </c>
      <c r="AB1005">
        <v>0.91195052554796296</v>
      </c>
      <c r="AC1005">
        <v>1.6078335786628054E-4</v>
      </c>
      <c r="AD1005">
        <v>0.22222871718700732</v>
      </c>
      <c r="AE1005">
        <v>0.26098280631367088</v>
      </c>
    </row>
    <row r="1006" spans="23:31" x14ac:dyDescent="0.25">
      <c r="W1006">
        <v>75</v>
      </c>
      <c r="X1006">
        <v>71.567534302329733</v>
      </c>
      <c r="Y1006">
        <v>3.432465697670267</v>
      </c>
      <c r="Z1006">
        <v>3.439595255806509</v>
      </c>
      <c r="AA1006">
        <v>2.0727898505528003E-3</v>
      </c>
      <c r="AB1006">
        <v>0.93232556613778883</v>
      </c>
      <c r="AC1006">
        <v>1.6413413505247598E-4</v>
      </c>
      <c r="AD1006">
        <v>0.22222871718700732</v>
      </c>
      <c r="AE1006">
        <v>0.26206835379803922</v>
      </c>
    </row>
    <row r="1007" spans="23:31" x14ac:dyDescent="0.25">
      <c r="W1007">
        <v>74.8</v>
      </c>
      <c r="X1007">
        <v>71.188341476667333</v>
      </c>
      <c r="Y1007">
        <v>3.6116585233326646</v>
      </c>
      <c r="Z1007">
        <v>3.6197165807046048</v>
      </c>
      <c r="AA1007">
        <v>2.2261569910993701E-3</v>
      </c>
      <c r="AB1007">
        <v>0.98107327278279099</v>
      </c>
      <c r="AC1007">
        <v>1.9522430131260502E-4</v>
      </c>
      <c r="AD1007">
        <v>0.22222871718700732</v>
      </c>
      <c r="AE1007">
        <v>0.26220329949174892</v>
      </c>
    </row>
    <row r="1008" spans="23:31" x14ac:dyDescent="0.25">
      <c r="W1008">
        <v>68.400000000000006</v>
      </c>
      <c r="X1008">
        <v>73.651893250378734</v>
      </c>
      <c r="Y1008">
        <v>-5.2518932503787283</v>
      </c>
      <c r="Z1008">
        <v>-5.2815647581600729</v>
      </c>
      <c r="AA1008">
        <v>5.6179388382027861E-3</v>
      </c>
      <c r="AB1008">
        <v>-1.4290587045655809</v>
      </c>
      <c r="AC1008">
        <v>1.0488929827184089E-3</v>
      </c>
      <c r="AD1008">
        <v>0.27870266916975811</v>
      </c>
      <c r="AE1008">
        <v>0.2624014360347724</v>
      </c>
    </row>
    <row r="1009" spans="23:31" x14ac:dyDescent="0.25">
      <c r="W1009">
        <v>68.099999999999994</v>
      </c>
      <c r="X1009">
        <v>71.610299708747434</v>
      </c>
      <c r="Y1009">
        <v>-3.5102997087474392</v>
      </c>
      <c r="Z1009">
        <v>-3.5425018344459858</v>
      </c>
      <c r="AA1009">
        <v>9.0902213191321034E-3</v>
      </c>
      <c r="AB1009">
        <v>-0.95683700047911402</v>
      </c>
      <c r="AC1009">
        <v>7.6352555898038718E-4</v>
      </c>
      <c r="AD1009">
        <v>0.27870266916975811</v>
      </c>
      <c r="AE1009">
        <v>0.26324370256857776</v>
      </c>
    </row>
    <row r="1010" spans="23:31" x14ac:dyDescent="0.25">
      <c r="W1010">
        <v>67.8</v>
      </c>
      <c r="X1010">
        <v>73.13460682817734</v>
      </c>
      <c r="Y1010">
        <v>-5.3346068281773427</v>
      </c>
      <c r="Z1010">
        <v>-5.3652482918700173</v>
      </c>
      <c r="AA1010">
        <v>5.7110989139315411E-3</v>
      </c>
      <c r="AB1010">
        <v>-1.4516333619965538</v>
      </c>
      <c r="AC1010">
        <v>1.100343511506229E-3</v>
      </c>
      <c r="AD1010">
        <v>0.27870266916975811</v>
      </c>
      <c r="AE1010">
        <v>0.26572219013037024</v>
      </c>
    </row>
    <row r="1011" spans="23:31" x14ac:dyDescent="0.25">
      <c r="W1011">
        <v>67.3</v>
      </c>
      <c r="X1011">
        <v>72.826758580571692</v>
      </c>
      <c r="Y1011">
        <v>-5.5267585805716948</v>
      </c>
      <c r="Z1011">
        <v>-5.5574298812736629</v>
      </c>
      <c r="AA1011">
        <v>5.5189721430972082E-3</v>
      </c>
      <c r="AB1011">
        <v>-1.5037757014144666</v>
      </c>
      <c r="AC1011">
        <v>1.1408673215833171E-3</v>
      </c>
      <c r="AD1011">
        <v>0.27870266916975811</v>
      </c>
      <c r="AE1011">
        <v>0.26754365820467674</v>
      </c>
    </row>
    <row r="1012" spans="23:31" x14ac:dyDescent="0.25">
      <c r="W1012">
        <v>66.3</v>
      </c>
      <c r="X1012">
        <v>75.532727729247114</v>
      </c>
      <c r="Y1012">
        <v>-9.2327277292471166</v>
      </c>
      <c r="Z1012">
        <v>-9.2567082956624489</v>
      </c>
      <c r="AA1012">
        <v>2.5906148977998082E-3</v>
      </c>
      <c r="AB1012">
        <v>-2.5084423442205992</v>
      </c>
      <c r="AC1012">
        <v>1.4857473689184133E-3</v>
      </c>
      <c r="AD1012">
        <v>0.27870266916975811</v>
      </c>
      <c r="AE1012">
        <v>0.27117671568307894</v>
      </c>
    </row>
    <row r="1013" spans="23:31" x14ac:dyDescent="0.25">
      <c r="W1013">
        <v>66.900000000000006</v>
      </c>
      <c r="X1013">
        <v>71.338909273868964</v>
      </c>
      <c r="Y1013">
        <v>-4.4389092738689584</v>
      </c>
      <c r="Z1013">
        <v>-4.4481264173039676</v>
      </c>
      <c r="AA1013">
        <v>2.0721406206333387E-3</v>
      </c>
      <c r="AB1013">
        <v>-1.2056951533096294</v>
      </c>
      <c r="AC1013">
        <v>2.7441157241612585E-4</v>
      </c>
      <c r="AD1013">
        <v>0.27870266916975811</v>
      </c>
      <c r="AE1013">
        <v>0.27641435623361083</v>
      </c>
    </row>
    <row r="1014" spans="23:31" x14ac:dyDescent="0.25">
      <c r="W1014">
        <v>67.400000000000006</v>
      </c>
      <c r="X1014">
        <v>71.073343537158735</v>
      </c>
      <c r="Y1014">
        <v>-3.6733435371587291</v>
      </c>
      <c r="Z1014">
        <v>-3.6797126396250945</v>
      </c>
      <c r="AA1014">
        <v>1.730869524369001E-3</v>
      </c>
      <c r="AB1014">
        <v>-0.99758186473433841</v>
      </c>
      <c r="AC1014">
        <v>1.5686320903377399E-4</v>
      </c>
      <c r="AD1014">
        <v>0.27870266916975811</v>
      </c>
      <c r="AE1014">
        <v>0.27739491709987013</v>
      </c>
    </row>
    <row r="1015" spans="23:31" x14ac:dyDescent="0.25">
      <c r="W1015">
        <v>65.900000000000006</v>
      </c>
      <c r="X1015">
        <v>74.145297098574275</v>
      </c>
      <c r="Y1015">
        <v>-8.2452970985742695</v>
      </c>
      <c r="Z1015">
        <v>-8.2613164192399751</v>
      </c>
      <c r="AA1015">
        <v>1.9390760325307503E-3</v>
      </c>
      <c r="AB1015">
        <v>-2.2394357285626874</v>
      </c>
      <c r="AC1015">
        <v>8.8577273140529782E-4</v>
      </c>
      <c r="AD1015">
        <v>0.27870266916975811</v>
      </c>
      <c r="AE1015">
        <v>0.28131545523512286</v>
      </c>
    </row>
    <row r="1016" spans="23:31" x14ac:dyDescent="0.25">
      <c r="W1016">
        <v>65</v>
      </c>
      <c r="X1016">
        <v>69.371771748205759</v>
      </c>
      <c r="Y1016">
        <v>-4.3717717482057594</v>
      </c>
      <c r="Z1016">
        <v>-4.3834837137289355</v>
      </c>
      <c r="AA1016">
        <v>2.671839634420632E-3</v>
      </c>
      <c r="AB1016">
        <v>-1.1878162388249778</v>
      </c>
      <c r="AC1016">
        <v>3.4361976580185805E-4</v>
      </c>
      <c r="AD1016">
        <v>0.27870266916975811</v>
      </c>
      <c r="AE1016">
        <v>0.28161810189776931</v>
      </c>
    </row>
    <row r="1017" spans="23:31" x14ac:dyDescent="0.25">
      <c r="W1017">
        <v>64.5</v>
      </c>
      <c r="X1017">
        <v>68.41911266503466</v>
      </c>
      <c r="Y1017">
        <v>-3.9191126650346604</v>
      </c>
      <c r="Z1017">
        <v>-3.9284982737342773</v>
      </c>
      <c r="AA1017">
        <v>2.3891085207702785E-3</v>
      </c>
      <c r="AB1017">
        <v>-1.0646772584977371</v>
      </c>
      <c r="AC1017">
        <v>2.4678454902318867E-4</v>
      </c>
      <c r="AD1017">
        <v>0.29295400660571058</v>
      </c>
      <c r="AE1017">
        <v>0.2816640166528504</v>
      </c>
    </row>
    <row r="1018" spans="23:31" x14ac:dyDescent="0.25">
      <c r="W1018">
        <v>64</v>
      </c>
      <c r="X1018">
        <v>67.575227472754321</v>
      </c>
      <c r="Y1018">
        <v>-3.575227472754321</v>
      </c>
      <c r="Z1018">
        <v>-3.5853209051740578</v>
      </c>
      <c r="AA1018">
        <v>2.8152103219459303E-3</v>
      </c>
      <c r="AB1018">
        <v>-0.97146392122288017</v>
      </c>
      <c r="AC1018">
        <v>2.4221211829230933E-4</v>
      </c>
      <c r="AD1018">
        <v>0.29295400660571058</v>
      </c>
      <c r="AE1018">
        <v>0.28447034207048</v>
      </c>
    </row>
    <row r="1019" spans="23:31" x14ac:dyDescent="0.25">
      <c r="W1019">
        <v>64</v>
      </c>
      <c r="X1019">
        <v>65.674760567029836</v>
      </c>
      <c r="Y1019">
        <v>-1.6747605670298356</v>
      </c>
      <c r="Z1019">
        <v>-1.6823659243878524</v>
      </c>
      <c r="AA1019">
        <v>4.5206320740178605E-3</v>
      </c>
      <c r="AB1019">
        <v>-0.45545703546523214</v>
      </c>
      <c r="AC1019">
        <v>8.5638498374905454E-5</v>
      </c>
      <c r="AD1019">
        <v>0.29295400660571058</v>
      </c>
      <c r="AE1019">
        <v>0.28774897773066743</v>
      </c>
    </row>
    <row r="1020" spans="23:31" x14ac:dyDescent="0.25">
      <c r="W1020">
        <v>63.8</v>
      </c>
      <c r="X1020">
        <v>66.548938377004674</v>
      </c>
      <c r="Y1020">
        <v>-2.7489383770046771</v>
      </c>
      <c r="Z1020">
        <v>-2.756130515398894</v>
      </c>
      <c r="AA1020">
        <v>2.6095057378591256E-3</v>
      </c>
      <c r="AB1020">
        <v>-0.74686689895365987</v>
      </c>
      <c r="AC1020">
        <v>1.3267428937012329E-4</v>
      </c>
      <c r="AD1020">
        <v>0.29295400660571058</v>
      </c>
      <c r="AE1020">
        <v>0.28931629085106692</v>
      </c>
    </row>
    <row r="1021" spans="23:31" x14ac:dyDescent="0.25">
      <c r="W1021">
        <v>63.2</v>
      </c>
      <c r="X1021">
        <v>65.577664837801009</v>
      </c>
      <c r="Y1021">
        <v>-2.3776648378010066</v>
      </c>
      <c r="Z1021">
        <v>-2.3848053256821089</v>
      </c>
      <c r="AA1021">
        <v>2.9941596507725076E-3</v>
      </c>
      <c r="AB1021">
        <v>-0.64611913664928056</v>
      </c>
      <c r="AC1021">
        <v>1.1397504548228602E-4</v>
      </c>
      <c r="AD1021">
        <v>0.29295400660571058</v>
      </c>
      <c r="AE1021">
        <v>0.29091040170961996</v>
      </c>
    </row>
    <row r="1022" spans="23:31" x14ac:dyDescent="0.25">
      <c r="W1022">
        <v>62.8</v>
      </c>
      <c r="X1022">
        <v>64.83282509313517</v>
      </c>
      <c r="Y1022">
        <v>-2.0328250931351732</v>
      </c>
      <c r="Z1022">
        <v>-2.0401395795886117</v>
      </c>
      <c r="AA1022">
        <v>3.5852872649620544E-3</v>
      </c>
      <c r="AB1022">
        <v>-0.55257440820823867</v>
      </c>
      <c r="AC1022">
        <v>9.9878652906020313E-5</v>
      </c>
      <c r="AD1022">
        <v>0.29295400660571058</v>
      </c>
      <c r="AE1022">
        <v>0.2950192897911017</v>
      </c>
    </row>
    <row r="1023" spans="23:31" x14ac:dyDescent="0.25">
      <c r="W1023">
        <v>75.900000000000006</v>
      </c>
      <c r="X1023">
        <v>78.998999396718091</v>
      </c>
      <c r="Y1023">
        <v>-3.0989993967180851</v>
      </c>
      <c r="Z1023">
        <v>-3.1151957744259704</v>
      </c>
      <c r="AA1023">
        <v>5.1991524387819989E-3</v>
      </c>
      <c r="AB1023">
        <v>-0.84307117033003598</v>
      </c>
      <c r="AC1023">
        <v>3.3770088297098167E-4</v>
      </c>
      <c r="AD1023">
        <v>0.29295400660571058</v>
      </c>
      <c r="AE1023">
        <v>0.29516897069543674</v>
      </c>
    </row>
    <row r="1024" spans="23:31" x14ac:dyDescent="0.25">
      <c r="W1024">
        <v>75.8</v>
      </c>
      <c r="X1024">
        <v>76.914328546859878</v>
      </c>
      <c r="Y1024">
        <v>-1.1143285468598805</v>
      </c>
      <c r="Z1024">
        <v>-1.1251735479876572</v>
      </c>
      <c r="AA1024">
        <v>9.6385141182695651E-3</v>
      </c>
      <c r="AB1024">
        <v>-0.30382758741328142</v>
      </c>
      <c r="AC1024">
        <v>8.1672917584626282E-5</v>
      </c>
      <c r="AD1024">
        <v>0.29295400660571058</v>
      </c>
      <c r="AE1024">
        <v>0.29601387245365529</v>
      </c>
    </row>
    <row r="1025" spans="23:31" x14ac:dyDescent="0.25">
      <c r="W1025">
        <v>75.599999999999994</v>
      </c>
      <c r="X1025">
        <v>77.050110279653325</v>
      </c>
      <c r="Y1025">
        <v>-1.4501102796533303</v>
      </c>
      <c r="Z1025">
        <v>-1.4648449123743745</v>
      </c>
      <c r="AA1025">
        <v>1.0058834622404226E-2</v>
      </c>
      <c r="AB1025">
        <v>-0.39546418607839873</v>
      </c>
      <c r="AC1025">
        <v>1.4446409355431432E-4</v>
      </c>
      <c r="AD1025">
        <v>0.29295400660571058</v>
      </c>
      <c r="AE1025">
        <v>0.29727022645457257</v>
      </c>
    </row>
    <row r="1026" spans="23:31" x14ac:dyDescent="0.25">
      <c r="W1026">
        <v>75.400000000000006</v>
      </c>
      <c r="X1026">
        <v>76.564706996717945</v>
      </c>
      <c r="Y1026">
        <v>-1.1647069967179391</v>
      </c>
      <c r="Z1026">
        <v>-1.1667303625709309</v>
      </c>
      <c r="AA1026">
        <v>1.7342189060105661E-3</v>
      </c>
      <c r="AB1026">
        <v>-0.31630380199611985</v>
      </c>
      <c r="AC1026">
        <v>1.5800610638783693E-5</v>
      </c>
      <c r="AD1026">
        <v>0.29295400660571058</v>
      </c>
      <c r="AE1026">
        <v>0.30032121239479198</v>
      </c>
    </row>
    <row r="1027" spans="23:31" x14ac:dyDescent="0.25">
      <c r="W1027">
        <v>75.3</v>
      </c>
      <c r="X1027">
        <v>76.323748465491619</v>
      </c>
      <c r="Y1027">
        <v>-1.0237484654916216</v>
      </c>
      <c r="Z1027">
        <v>-1.0254626490790457</v>
      </c>
      <c r="AA1027">
        <v>1.6716197210660164E-3</v>
      </c>
      <c r="AB1027">
        <v>-0.27801445377342993</v>
      </c>
      <c r="AC1027">
        <v>1.1765384749751166E-5</v>
      </c>
      <c r="AD1027">
        <v>0.29295400660571058</v>
      </c>
      <c r="AE1027">
        <v>0.30083947699278846</v>
      </c>
    </row>
    <row r="1028" spans="23:31" x14ac:dyDescent="0.25">
      <c r="W1028">
        <v>75</v>
      </c>
      <c r="X1028">
        <v>75.762152299637151</v>
      </c>
      <c r="Y1028">
        <v>-0.76215229963715103</v>
      </c>
      <c r="Z1028">
        <v>-0.7633481375504374</v>
      </c>
      <c r="AA1028">
        <v>1.5665695040789672E-3</v>
      </c>
      <c r="AB1028">
        <v>-0.20696315076470653</v>
      </c>
      <c r="AC1028">
        <v>6.1097568019316065E-6</v>
      </c>
      <c r="AD1028">
        <v>0.29295400660571058</v>
      </c>
      <c r="AE1028">
        <v>0.30132830395099641</v>
      </c>
    </row>
    <row r="1029" spans="23:31" x14ac:dyDescent="0.25">
      <c r="W1029">
        <v>74.599999999999994</v>
      </c>
      <c r="X1029">
        <v>75.330275880515273</v>
      </c>
      <c r="Y1029">
        <v>-0.73027588051527914</v>
      </c>
      <c r="Z1029">
        <v>-0.73130492602638242</v>
      </c>
      <c r="AA1029">
        <v>1.4071360310525399E-3</v>
      </c>
      <c r="AB1029">
        <v>-0.19829124883351287</v>
      </c>
      <c r="AC1029">
        <v>5.036885010299059E-6</v>
      </c>
      <c r="AD1029">
        <v>0.29295400660571058</v>
      </c>
      <c r="AE1029">
        <v>0.30148692649577902</v>
      </c>
    </row>
    <row r="1030" spans="23:31" x14ac:dyDescent="0.25">
      <c r="W1030">
        <v>74.2</v>
      </c>
      <c r="X1030">
        <v>74.63211646974014</v>
      </c>
      <c r="Y1030">
        <v>-0.43211646974013718</v>
      </c>
      <c r="Z1030">
        <v>-0.43273127194095196</v>
      </c>
      <c r="AA1030">
        <v>1.4207482580598509E-3</v>
      </c>
      <c r="AB1030">
        <v>-0.11733305278388338</v>
      </c>
      <c r="AC1030">
        <v>1.7806667513596603E-6</v>
      </c>
      <c r="AD1030">
        <v>0.29295400660571058</v>
      </c>
      <c r="AE1030">
        <v>0.30302819000108144</v>
      </c>
    </row>
    <row r="1031" spans="23:31" x14ac:dyDescent="0.25">
      <c r="W1031">
        <v>73.8</v>
      </c>
      <c r="X1031">
        <v>74.377894552757994</v>
      </c>
      <c r="Y1031">
        <v>-0.57789455275799639</v>
      </c>
      <c r="Z1031">
        <v>-0.58526480860504648</v>
      </c>
      <c r="AA1031">
        <v>1.2593027529917665E-2</v>
      </c>
      <c r="AB1031">
        <v>-0.15780157227440414</v>
      </c>
      <c r="AC1031">
        <v>2.8871139827108519E-5</v>
      </c>
      <c r="AD1031">
        <v>0.3152427890443939</v>
      </c>
      <c r="AE1031">
        <v>0.30321638275336366</v>
      </c>
    </row>
    <row r="1032" spans="23:31" x14ac:dyDescent="0.25">
      <c r="W1032">
        <v>74.099999999999994</v>
      </c>
      <c r="X1032">
        <v>72.76075330083367</v>
      </c>
      <c r="Y1032">
        <v>1.3392466991663241</v>
      </c>
      <c r="Z1032">
        <v>1.3432474459897037</v>
      </c>
      <c r="AA1032">
        <v>2.978413869559804E-3</v>
      </c>
      <c r="AB1032">
        <v>0.36393106142494869</v>
      </c>
      <c r="AC1032">
        <v>3.5968808153211965E-5</v>
      </c>
      <c r="AD1032">
        <v>0.3152427890443939</v>
      </c>
      <c r="AE1032">
        <v>0.3037209600787884</v>
      </c>
    </row>
    <row r="1033" spans="23:31" x14ac:dyDescent="0.25">
      <c r="W1033">
        <v>73.900000000000006</v>
      </c>
      <c r="X1033">
        <v>72.633149859959033</v>
      </c>
      <c r="Y1033">
        <v>1.2668501400409724</v>
      </c>
      <c r="Z1033">
        <v>1.2705091163605147</v>
      </c>
      <c r="AA1033">
        <v>2.8799292129677162E-3</v>
      </c>
      <c r="AB1033">
        <v>0.3442407939479456</v>
      </c>
      <c r="AC1033">
        <v>3.1114751678878654E-5</v>
      </c>
      <c r="AD1033">
        <v>0.3152427890443939</v>
      </c>
      <c r="AE1033">
        <v>0.3042402988070147</v>
      </c>
    </row>
    <row r="1034" spans="23:31" x14ac:dyDescent="0.25">
      <c r="W1034">
        <v>73.599999999999994</v>
      </c>
      <c r="X1034">
        <v>71.913207903992117</v>
      </c>
      <c r="Y1034">
        <v>1.6867920960078777</v>
      </c>
      <c r="Z1034">
        <v>1.6915673124744188</v>
      </c>
      <c r="AA1034">
        <v>2.8229538554716948E-3</v>
      </c>
      <c r="AB1034">
        <v>0.45833839631524881</v>
      </c>
      <c r="AC1034">
        <v>5.4064389431215509E-5</v>
      </c>
      <c r="AD1034">
        <v>0.3152427890443939</v>
      </c>
      <c r="AE1034">
        <v>0.30444823299222717</v>
      </c>
    </row>
    <row r="1035" spans="23:31" x14ac:dyDescent="0.25">
      <c r="W1035">
        <v>73.3</v>
      </c>
      <c r="X1035">
        <v>72.926126303154732</v>
      </c>
      <c r="Y1035">
        <v>0.37387369684526561</v>
      </c>
      <c r="Z1035">
        <v>0.37529992593968586</v>
      </c>
      <c r="AA1035">
        <v>3.8002381451345945E-3</v>
      </c>
      <c r="AB1035">
        <v>0.10163949896779813</v>
      </c>
      <c r="AC1035">
        <v>3.5825868313917671E-6</v>
      </c>
      <c r="AD1035">
        <v>0.3152427890443939</v>
      </c>
      <c r="AE1035">
        <v>0.30556075736323846</v>
      </c>
    </row>
    <row r="1036" spans="23:31" x14ac:dyDescent="0.25">
      <c r="W1036">
        <v>72.8</v>
      </c>
      <c r="X1036">
        <v>72.448607535162836</v>
      </c>
      <c r="Y1036">
        <v>0.35139246483716136</v>
      </c>
      <c r="Z1036">
        <v>0.35281925366129485</v>
      </c>
      <c r="AA1036">
        <v>4.0439653146075614E-3</v>
      </c>
      <c r="AB1036">
        <v>9.5539547645871109E-2</v>
      </c>
      <c r="AC1036">
        <v>3.3693096881712346E-6</v>
      </c>
      <c r="AD1036">
        <v>0.3152427890443939</v>
      </c>
      <c r="AE1036">
        <v>0.30691978360978944</v>
      </c>
    </row>
    <row r="1037" spans="23:31" x14ac:dyDescent="0.25">
      <c r="W1037">
        <v>72.3</v>
      </c>
      <c r="X1037">
        <v>70.237523340031231</v>
      </c>
      <c r="Y1037">
        <v>2.0624766599687661</v>
      </c>
      <c r="Z1037">
        <v>2.068518113870411</v>
      </c>
      <c r="AA1037">
        <v>2.9206676321239921E-3</v>
      </c>
      <c r="AB1037">
        <v>0.56044758934505212</v>
      </c>
      <c r="AC1037">
        <v>8.3643028524946455E-5</v>
      </c>
      <c r="AD1037">
        <v>0.3152427890443939</v>
      </c>
      <c r="AE1037">
        <v>0.30859209859559833</v>
      </c>
    </row>
    <row r="1038" spans="23:31" x14ac:dyDescent="0.25">
      <c r="W1038">
        <v>71.8</v>
      </c>
      <c r="X1038">
        <v>69.79738422075846</v>
      </c>
      <c r="Y1038">
        <v>2.0026157792415376</v>
      </c>
      <c r="Z1038">
        <v>2.0085856528424983</v>
      </c>
      <c r="AA1038">
        <v>2.9721777572725904E-3</v>
      </c>
      <c r="AB1038">
        <v>0.544195335600412</v>
      </c>
      <c r="AC1038">
        <v>8.025728187682875E-5</v>
      </c>
      <c r="AD1038">
        <v>0.3152427890443939</v>
      </c>
      <c r="AE1038">
        <v>0.31060952015170185</v>
      </c>
    </row>
    <row r="1039" spans="23:31" x14ac:dyDescent="0.25">
      <c r="W1039">
        <v>71.400000000000006</v>
      </c>
      <c r="X1039">
        <v>67.517650679350879</v>
      </c>
      <c r="Y1039">
        <v>3.8823493206491264</v>
      </c>
      <c r="Z1039">
        <v>3.8967417553053281</v>
      </c>
      <c r="AA1039">
        <v>3.693453546571219E-3</v>
      </c>
      <c r="AB1039">
        <v>1.0553801880788383</v>
      </c>
      <c r="AC1039">
        <v>3.7537456892583644E-4</v>
      </c>
      <c r="AD1039">
        <v>0.3152427890443939</v>
      </c>
      <c r="AE1039">
        <v>0.31083847599168918</v>
      </c>
    </row>
    <row r="1040" spans="23:31" x14ac:dyDescent="0.25">
      <c r="W1040">
        <v>71</v>
      </c>
      <c r="X1040">
        <v>69.040187198581677</v>
      </c>
      <c r="Y1040">
        <v>1.9598128014183231</v>
      </c>
      <c r="Z1040">
        <v>1.9653991347214372</v>
      </c>
      <c r="AA1040">
        <v>2.8423403696579584E-3</v>
      </c>
      <c r="AB1040">
        <v>0.53252928468364835</v>
      </c>
      <c r="AC1040">
        <v>7.3486330101524356E-5</v>
      </c>
      <c r="AD1040">
        <v>0.3152427890443939</v>
      </c>
      <c r="AE1040">
        <v>0.31187658432794124</v>
      </c>
    </row>
    <row r="1041" spans="23:31" x14ac:dyDescent="0.25">
      <c r="W1041">
        <v>77</v>
      </c>
      <c r="X1041">
        <v>68.692220923830973</v>
      </c>
      <c r="Y1041">
        <v>8.3077790761690267</v>
      </c>
      <c r="Z1041">
        <v>8.3324723736547242</v>
      </c>
      <c r="AA1041">
        <v>2.9635018729588705E-3</v>
      </c>
      <c r="AB1041">
        <v>2.257564830410336</v>
      </c>
      <c r="AC1041">
        <v>1.3771521542675421E-3</v>
      </c>
      <c r="AD1041">
        <v>0.3152427890443939</v>
      </c>
      <c r="AE1041">
        <v>0.31689160839103869</v>
      </c>
    </row>
    <row r="1042" spans="23:31" x14ac:dyDescent="0.25">
      <c r="W1042">
        <v>72</v>
      </c>
      <c r="X1042">
        <v>68.282005857349517</v>
      </c>
      <c r="Y1042">
        <v>3.7179941426504826</v>
      </c>
      <c r="Z1042">
        <v>3.7290610144294902</v>
      </c>
      <c r="AA1042">
        <v>2.9677368474753229E-3</v>
      </c>
      <c r="AB1042">
        <v>1.0103338768900996</v>
      </c>
      <c r="AC1042">
        <v>2.7621885611434327E-4</v>
      </c>
      <c r="AD1042">
        <v>0.33286538375086522</v>
      </c>
      <c r="AE1042">
        <v>0.3177460653036206</v>
      </c>
    </row>
    <row r="1043" spans="23:31" x14ac:dyDescent="0.25">
      <c r="W1043">
        <v>69.900000000000006</v>
      </c>
      <c r="X1043">
        <v>67.657129048067176</v>
      </c>
      <c r="Y1043">
        <v>2.2428709519328294</v>
      </c>
      <c r="Z1043">
        <v>2.2492055095058561</v>
      </c>
      <c r="AA1043">
        <v>2.816353395125485E-3</v>
      </c>
      <c r="AB1043">
        <v>0.60943519683312541</v>
      </c>
      <c r="AC1043">
        <v>9.5361787098682371E-5</v>
      </c>
      <c r="AD1043">
        <v>0.33286538375086522</v>
      </c>
      <c r="AE1043">
        <v>0.31778916841956217</v>
      </c>
    </row>
    <row r="1044" spans="23:31" x14ac:dyDescent="0.25">
      <c r="W1044">
        <v>69.5</v>
      </c>
      <c r="X1044">
        <v>69.492816506867314</v>
      </c>
      <c r="Y1044">
        <v>7.1834931326861806E-3</v>
      </c>
      <c r="Z1044">
        <v>7.2196349078410549E-3</v>
      </c>
      <c r="AA1044">
        <v>5.0060391710905509E-3</v>
      </c>
      <c r="AB1044">
        <v>1.954052728225839E-3</v>
      </c>
      <c r="AC1044">
        <v>1.7464400037653264E-9</v>
      </c>
      <c r="AD1044">
        <v>0.33286538375086522</v>
      </c>
      <c r="AE1044">
        <v>0.31991122382065729</v>
      </c>
    </row>
    <row r="1045" spans="23:31" x14ac:dyDescent="0.25">
      <c r="W1045">
        <v>69</v>
      </c>
      <c r="X1045">
        <v>66.526627482442677</v>
      </c>
      <c r="Y1045">
        <v>2.4733725175573227</v>
      </c>
      <c r="Z1045">
        <v>2.4830115635624566</v>
      </c>
      <c r="AA1045">
        <v>3.8819980327839242E-3</v>
      </c>
      <c r="AB1045">
        <v>0.67242671070514481</v>
      </c>
      <c r="AC1045">
        <v>1.6019234173706063E-4</v>
      </c>
      <c r="AD1045">
        <v>0.33286538375086522</v>
      </c>
      <c r="AE1045">
        <v>0.32066595749556626</v>
      </c>
    </row>
    <row r="1046" spans="23:31" x14ac:dyDescent="0.25">
      <c r="W1046">
        <v>68.599999999999994</v>
      </c>
      <c r="X1046">
        <v>68.388555243158734</v>
      </c>
      <c r="Y1046">
        <v>0.21144475684126007</v>
      </c>
      <c r="Z1046">
        <v>0.21277458407288918</v>
      </c>
      <c r="AA1046">
        <v>6.2499345841496613E-3</v>
      </c>
      <c r="AB1046">
        <v>5.755315754898338E-2</v>
      </c>
      <c r="AC1046">
        <v>1.8938427997820542E-6</v>
      </c>
      <c r="AD1046">
        <v>0.33286538375086522</v>
      </c>
      <c r="AE1046">
        <v>0.32124127210881948</v>
      </c>
    </row>
    <row r="1047" spans="23:31" x14ac:dyDescent="0.25">
      <c r="W1047">
        <v>56.7</v>
      </c>
      <c r="X1047">
        <v>58.909086962359638</v>
      </c>
      <c r="Y1047">
        <v>-2.2090869623596348</v>
      </c>
      <c r="Z1047">
        <v>-2.2168340196162717</v>
      </c>
      <c r="AA1047">
        <v>3.4946492105790991E-3</v>
      </c>
      <c r="AB1047">
        <v>-0.60045963103765965</v>
      </c>
      <c r="AC1047">
        <v>1.1494733271297627E-4</v>
      </c>
      <c r="AD1047">
        <v>0.33286538375086522</v>
      </c>
      <c r="AE1047">
        <v>0.32126766808782886</v>
      </c>
    </row>
    <row r="1048" spans="23:31" x14ac:dyDescent="0.25">
      <c r="W1048">
        <v>55.3</v>
      </c>
      <c r="X1048">
        <v>64.138394623763631</v>
      </c>
      <c r="Y1048">
        <v>-8.8383946237636337</v>
      </c>
      <c r="Z1048">
        <v>-8.8781034000847399</v>
      </c>
      <c r="AA1048">
        <v>4.4726643216075031E-3</v>
      </c>
      <c r="AB1048">
        <v>-2.4035746426179383</v>
      </c>
      <c r="AC1048">
        <v>2.3595851680015436E-3</v>
      </c>
      <c r="AD1048">
        <v>0.33286538375086522</v>
      </c>
      <c r="AE1048">
        <v>0.32394591918189131</v>
      </c>
    </row>
    <row r="1049" spans="23:31" x14ac:dyDescent="0.25">
      <c r="W1049">
        <v>54.8</v>
      </c>
      <c r="X1049">
        <v>63.275499932976814</v>
      </c>
      <c r="Y1049">
        <v>-8.4754999329768168</v>
      </c>
      <c r="Z1049">
        <v>-8.5185348193806831</v>
      </c>
      <c r="AA1049">
        <v>5.0519117801759265E-3</v>
      </c>
      <c r="AB1049">
        <v>-2.3055573725574008</v>
      </c>
      <c r="AC1049">
        <v>2.453660766771754E-3</v>
      </c>
      <c r="AD1049">
        <v>0.33286538375086522</v>
      </c>
      <c r="AE1049">
        <v>0.32885108077699099</v>
      </c>
    </row>
    <row r="1050" spans="23:31" x14ac:dyDescent="0.25">
      <c r="W1050">
        <v>54.3</v>
      </c>
      <c r="X1050">
        <v>61.710847488368948</v>
      </c>
      <c r="Y1050">
        <v>-7.410847488368951</v>
      </c>
      <c r="Z1050">
        <v>-7.4687544707695537</v>
      </c>
      <c r="AA1050">
        <v>7.7532314962600714E-3</v>
      </c>
      <c r="AB1050">
        <v>-2.0186863630671446</v>
      </c>
      <c r="AC1050">
        <v>2.8947300626972635E-3</v>
      </c>
      <c r="AD1050">
        <v>0.33286538375086522</v>
      </c>
      <c r="AE1050">
        <v>0.33428260203680066</v>
      </c>
    </row>
    <row r="1051" spans="23:31" x14ac:dyDescent="0.25">
      <c r="W1051">
        <v>54</v>
      </c>
      <c r="X1051">
        <v>60.780663759349508</v>
      </c>
      <c r="Y1051">
        <v>-6.7806637593495083</v>
      </c>
      <c r="Z1051">
        <v>-6.8383872152704299</v>
      </c>
      <c r="AA1051">
        <v>8.441092044630236E-3</v>
      </c>
      <c r="AB1051">
        <v>-1.8476672833543502</v>
      </c>
      <c r="AC1051">
        <v>2.6420131080656262E-3</v>
      </c>
      <c r="AD1051">
        <v>0.33286538375086522</v>
      </c>
      <c r="AE1051">
        <v>0.33565466003784311</v>
      </c>
    </row>
    <row r="1052" spans="23:31" x14ac:dyDescent="0.25">
      <c r="W1052">
        <v>53.8</v>
      </c>
      <c r="X1052">
        <v>61.140680240762741</v>
      </c>
      <c r="Y1052">
        <v>-7.3406802407627438</v>
      </c>
      <c r="Z1052">
        <v>-7.4189761064705095</v>
      </c>
      <c r="AA1052">
        <v>1.0553459747562631E-2</v>
      </c>
      <c r="AB1052">
        <v>-2.0024005669198597</v>
      </c>
      <c r="AC1052">
        <v>3.8878702046485588E-3</v>
      </c>
      <c r="AD1052">
        <v>0.33286538375086522</v>
      </c>
      <c r="AE1052">
        <v>0.34030562333739617</v>
      </c>
    </row>
    <row r="1053" spans="23:31" x14ac:dyDescent="0.25">
      <c r="W1053">
        <v>53.2</v>
      </c>
      <c r="X1053">
        <v>59.950158599520364</v>
      </c>
      <c r="Y1053">
        <v>-6.7501585995203612</v>
      </c>
      <c r="Z1053">
        <v>-6.8093892589800404</v>
      </c>
      <c r="AA1053">
        <v>8.6983806046289948E-3</v>
      </c>
      <c r="AB1053">
        <v>-1.8395935966823265</v>
      </c>
      <c r="AC1053">
        <v>2.6995021906774871E-3</v>
      </c>
      <c r="AD1053">
        <v>0.33286538375086522</v>
      </c>
      <c r="AE1053">
        <v>0.34300205561484715</v>
      </c>
    </row>
    <row r="1054" spans="23:31" x14ac:dyDescent="0.25">
      <c r="W1054">
        <v>52.1</v>
      </c>
      <c r="X1054">
        <v>51.793875217085649</v>
      </c>
      <c r="Y1054">
        <v>0.30612478291435252</v>
      </c>
      <c r="Z1054">
        <v>0.30745880545720183</v>
      </c>
      <c r="AA1054">
        <v>4.3388659526874635E-3</v>
      </c>
      <c r="AB1054">
        <v>8.3244113534005071E-2</v>
      </c>
      <c r="AC1054">
        <v>2.7452320399074186E-6</v>
      </c>
      <c r="AD1054">
        <v>0.35220887014201224</v>
      </c>
      <c r="AE1054">
        <v>0.3442407939479456</v>
      </c>
    </row>
    <row r="1055" spans="23:31" x14ac:dyDescent="0.25">
      <c r="W1055">
        <v>51.2</v>
      </c>
      <c r="X1055">
        <v>50.42714220567867</v>
      </c>
      <c r="Y1055">
        <v>0.77285779432133239</v>
      </c>
      <c r="Z1055">
        <v>0.77700780536309111</v>
      </c>
      <c r="AA1055">
        <v>5.3410158985745431E-3</v>
      </c>
      <c r="AB1055">
        <v>0.2102680593107451</v>
      </c>
      <c r="AC1055">
        <v>2.1582591391670364E-5</v>
      </c>
      <c r="AD1055">
        <v>0.35220887014201224</v>
      </c>
      <c r="AE1055">
        <v>0.34438021082778864</v>
      </c>
    </row>
    <row r="1056" spans="23:31" x14ac:dyDescent="0.25">
      <c r="W1056">
        <v>58</v>
      </c>
      <c r="X1056">
        <v>48.283822096430463</v>
      </c>
      <c r="Y1056">
        <v>9.7161779035695375</v>
      </c>
      <c r="Z1056">
        <v>9.8259894104992753</v>
      </c>
      <c r="AA1056">
        <v>1.1175618285564223E-2</v>
      </c>
      <c r="AB1056">
        <v>2.6512256633649991</v>
      </c>
      <c r="AC1056">
        <v>7.2219270630793676E-3</v>
      </c>
      <c r="AD1056">
        <v>0.35220887014201224</v>
      </c>
      <c r="AE1056">
        <v>0.34438969220933652</v>
      </c>
    </row>
    <row r="1057" spans="23:31" x14ac:dyDescent="0.25">
      <c r="W1057">
        <v>54</v>
      </c>
      <c r="X1057">
        <v>49.629183056860349</v>
      </c>
      <c r="Y1057">
        <v>4.3708169431396513</v>
      </c>
      <c r="Z1057">
        <v>4.3961292009766879</v>
      </c>
      <c r="AA1057">
        <v>5.7578512095172833E-3</v>
      </c>
      <c r="AB1057">
        <v>1.1893984079662445</v>
      </c>
      <c r="AC1057">
        <v>7.447839143603838E-4</v>
      </c>
      <c r="AD1057">
        <v>0.35220887014201224</v>
      </c>
      <c r="AE1057">
        <v>0.34649066285444136</v>
      </c>
    </row>
    <row r="1058" spans="23:31" x14ac:dyDescent="0.25">
      <c r="W1058">
        <v>51</v>
      </c>
      <c r="X1058">
        <v>49.599645042903227</v>
      </c>
      <c r="Y1058">
        <v>1.4003549570967735</v>
      </c>
      <c r="Z1058">
        <v>1.4087864705514122</v>
      </c>
      <c r="AA1058">
        <v>5.9849477766079975E-3</v>
      </c>
      <c r="AB1058">
        <v>0.38111186760254379</v>
      </c>
      <c r="AC1058">
        <v>7.9502294780420965E-5</v>
      </c>
      <c r="AD1058">
        <v>0.35220887014201224</v>
      </c>
      <c r="AE1058">
        <v>0.34651516793309584</v>
      </c>
    </row>
    <row r="1059" spans="23:31" x14ac:dyDescent="0.25">
      <c r="W1059">
        <v>49.8</v>
      </c>
      <c r="X1059">
        <v>49.306313999027253</v>
      </c>
      <c r="Y1059">
        <v>0.49368600097274395</v>
      </c>
      <c r="Z1059">
        <v>0.49661606537922864</v>
      </c>
      <c r="AA1059">
        <v>5.900059645171131E-3</v>
      </c>
      <c r="AB1059">
        <v>0.13435276497913504</v>
      </c>
      <c r="AC1059">
        <v>9.7392807769860639E-6</v>
      </c>
      <c r="AD1059">
        <v>0.35220887014201224</v>
      </c>
      <c r="AE1059">
        <v>0.34887862766174782</v>
      </c>
    </row>
    <row r="1060" spans="23:31" x14ac:dyDescent="0.25">
      <c r="W1060">
        <v>49.5</v>
      </c>
      <c r="X1060">
        <v>55.811438700950006</v>
      </c>
      <c r="Y1060">
        <v>-6.3114387009500064</v>
      </c>
      <c r="Z1060">
        <v>-6.392561265617104</v>
      </c>
      <c r="AA1060">
        <v>1.2690150519701441E-2</v>
      </c>
      <c r="AB1060">
        <v>-1.7235046274018451</v>
      </c>
      <c r="AC1060">
        <v>3.4709273708296638E-3</v>
      </c>
      <c r="AD1060">
        <v>0.35220887014201224</v>
      </c>
      <c r="AE1060">
        <v>0.35571084600343811</v>
      </c>
    </row>
    <row r="1061" spans="23:31" x14ac:dyDescent="0.25">
      <c r="W1061">
        <v>66.400000000000006</v>
      </c>
      <c r="X1061">
        <v>68.399238555007059</v>
      </c>
      <c r="Y1061">
        <v>-1.9992385550070537</v>
      </c>
      <c r="Z1061">
        <v>-2.0095379832286682</v>
      </c>
      <c r="AA1061">
        <v>5.1252717328915511E-3</v>
      </c>
      <c r="AB1061">
        <v>-0.54386516022681963</v>
      </c>
      <c r="AC1061">
        <v>1.3852823140055625E-4</v>
      </c>
      <c r="AD1061">
        <v>0.35220887014201224</v>
      </c>
      <c r="AE1061">
        <v>0.35676948546259524</v>
      </c>
    </row>
    <row r="1062" spans="23:31" x14ac:dyDescent="0.25">
      <c r="W1062">
        <v>66.2</v>
      </c>
      <c r="X1062">
        <v>67.870089090261274</v>
      </c>
      <c r="Y1062">
        <v>-1.6700890902612713</v>
      </c>
      <c r="Z1062">
        <v>-1.6784789352560239</v>
      </c>
      <c r="AA1062">
        <v>4.9984809570854296E-3</v>
      </c>
      <c r="AB1062">
        <v>-0.45429565923575926</v>
      </c>
      <c r="AC1062">
        <v>9.4253782374512893E-5</v>
      </c>
      <c r="AD1062">
        <v>0.35220887014201224</v>
      </c>
      <c r="AE1062">
        <v>0.35757361440880181</v>
      </c>
    </row>
    <row r="1063" spans="23:31" x14ac:dyDescent="0.25">
      <c r="W1063">
        <v>65.900000000000006</v>
      </c>
      <c r="X1063">
        <v>67.874631456863625</v>
      </c>
      <c r="Y1063">
        <v>-1.9746314568636194</v>
      </c>
      <c r="Z1063">
        <v>-1.9844522271094718</v>
      </c>
      <c r="AA1063">
        <v>4.948856975087625E-3</v>
      </c>
      <c r="AB1063">
        <v>-0.53712351975119133</v>
      </c>
      <c r="AC1063">
        <v>1.3044131075180113E-4</v>
      </c>
      <c r="AD1063">
        <v>0.35220887014201224</v>
      </c>
      <c r="AE1063">
        <v>0.35768456915936442</v>
      </c>
    </row>
    <row r="1064" spans="23:31" x14ac:dyDescent="0.25">
      <c r="W1064">
        <v>65.599999999999994</v>
      </c>
      <c r="X1064">
        <v>67.036471471027781</v>
      </c>
      <c r="Y1064">
        <v>-1.4364714710277866</v>
      </c>
      <c r="Z1064">
        <v>-1.4462325895166828</v>
      </c>
      <c r="AA1064">
        <v>6.7493420903726748E-3</v>
      </c>
      <c r="AB1064">
        <v>-0.39109151565144484</v>
      </c>
      <c r="AC1064">
        <v>9.4485830184011041E-5</v>
      </c>
      <c r="AD1064">
        <v>0.35220887014201224</v>
      </c>
      <c r="AE1064">
        <v>0.36099069629494568</v>
      </c>
    </row>
    <row r="1065" spans="23:31" x14ac:dyDescent="0.25">
      <c r="W1065">
        <v>65.400000000000006</v>
      </c>
      <c r="X1065">
        <v>65.638232370054538</v>
      </c>
      <c r="Y1065">
        <v>-0.23823237005453279</v>
      </c>
      <c r="Z1065">
        <v>-0.24121260095203922</v>
      </c>
      <c r="AA1065">
        <v>1.2355204022253388E-2</v>
      </c>
      <c r="AB1065">
        <v>-6.5044593143756227E-2</v>
      </c>
      <c r="AC1065">
        <v>4.8114819339916596E-6</v>
      </c>
      <c r="AD1065">
        <v>0.35220887014201224</v>
      </c>
      <c r="AE1065">
        <v>0.36391426463182225</v>
      </c>
    </row>
    <row r="1066" spans="23:31" x14ac:dyDescent="0.25">
      <c r="W1066">
        <v>65.2</v>
      </c>
      <c r="X1066">
        <v>61.910471072627004</v>
      </c>
      <c r="Y1066">
        <v>3.2895289273729986</v>
      </c>
      <c r="Z1066">
        <v>3.3219676883459144</v>
      </c>
      <c r="AA1066">
        <v>9.7649236886669221E-3</v>
      </c>
      <c r="AB1066">
        <v>0.89696475195178704</v>
      </c>
      <c r="AC1066">
        <v>7.2125463386084321E-4</v>
      </c>
      <c r="AD1066">
        <v>0.3716850598056044</v>
      </c>
      <c r="AE1066">
        <v>0.36393106142494869</v>
      </c>
    </row>
    <row r="1067" spans="23:31" x14ac:dyDescent="0.25">
      <c r="W1067">
        <v>59.2</v>
      </c>
      <c r="X1067">
        <v>61.491786118986433</v>
      </c>
      <c r="Y1067">
        <v>-2.2917861189864297</v>
      </c>
      <c r="Z1067">
        <v>-2.3015592253168293</v>
      </c>
      <c r="AA1067">
        <v>4.246297997851623E-3</v>
      </c>
      <c r="AB1067">
        <v>-0.62317344664774854</v>
      </c>
      <c r="AC1067">
        <v>1.5055103090651277E-4</v>
      </c>
      <c r="AD1067">
        <v>0.3716850598056044</v>
      </c>
      <c r="AE1067">
        <v>0.36428221630975915</v>
      </c>
    </row>
    <row r="1068" spans="23:31" x14ac:dyDescent="0.25">
      <c r="W1068">
        <v>64.5</v>
      </c>
      <c r="X1068">
        <v>62.751925622026206</v>
      </c>
      <c r="Y1068">
        <v>1.7480743779737935</v>
      </c>
      <c r="Z1068">
        <v>1.7550576145087788</v>
      </c>
      <c r="AA1068">
        <v>3.9789215335461273E-3</v>
      </c>
      <c r="AB1068">
        <v>0.47526568939070124</v>
      </c>
      <c r="AC1068">
        <v>8.2030826153123288E-5</v>
      </c>
      <c r="AD1068">
        <v>0.3716850598056044</v>
      </c>
      <c r="AE1068">
        <v>0.36676742474089946</v>
      </c>
    </row>
    <row r="1069" spans="23:31" x14ac:dyDescent="0.25">
      <c r="W1069">
        <v>64.2</v>
      </c>
      <c r="X1069">
        <v>65.975673288014534</v>
      </c>
      <c r="Y1069">
        <v>-1.7756732880145307</v>
      </c>
      <c r="Z1069">
        <v>-1.7868445148913139</v>
      </c>
      <c r="AA1069">
        <v>6.2519300273062989E-3</v>
      </c>
      <c r="AB1069">
        <v>-0.48332107464611568</v>
      </c>
      <c r="AC1069">
        <v>1.3360311692339576E-4</v>
      </c>
      <c r="AD1069">
        <v>0.3716850598056044</v>
      </c>
      <c r="AE1069">
        <v>0.36822904514413179</v>
      </c>
    </row>
    <row r="1070" spans="23:31" x14ac:dyDescent="0.25">
      <c r="W1070">
        <v>63.9</v>
      </c>
      <c r="X1070">
        <v>61.950917232392285</v>
      </c>
      <c r="Y1070">
        <v>1.9490827676077132</v>
      </c>
      <c r="Z1070">
        <v>1.9563289519034441</v>
      </c>
      <c r="AA1070">
        <v>3.7039702799897111E-3</v>
      </c>
      <c r="AB1070">
        <v>0.52984263515029506</v>
      </c>
      <c r="AC1070">
        <v>9.4881209558798552E-5</v>
      </c>
      <c r="AD1070">
        <v>0.3716850598056044</v>
      </c>
      <c r="AE1070">
        <v>0.36904644296246913</v>
      </c>
    </row>
    <row r="1071" spans="23:31" x14ac:dyDescent="0.25">
      <c r="W1071">
        <v>63.5</v>
      </c>
      <c r="X1071">
        <v>61.838718367890046</v>
      </c>
      <c r="Y1071">
        <v>1.6612816321099544</v>
      </c>
      <c r="Z1071">
        <v>1.6675605170286758</v>
      </c>
      <c r="AA1071">
        <v>3.7653115761632034E-3</v>
      </c>
      <c r="AB1071">
        <v>0.45162009063088243</v>
      </c>
      <c r="AC1071">
        <v>7.0079836817976097E-5</v>
      </c>
      <c r="AD1071">
        <v>0.3716850598056044</v>
      </c>
      <c r="AE1071">
        <v>0.36933924503676208</v>
      </c>
    </row>
    <row r="1072" spans="23:31" x14ac:dyDescent="0.25">
      <c r="W1072">
        <v>63.2</v>
      </c>
      <c r="X1072">
        <v>61.479367989244622</v>
      </c>
      <c r="Y1072">
        <v>1.7206320107553807</v>
      </c>
      <c r="Z1072">
        <v>1.7270802826876732</v>
      </c>
      <c r="AA1072">
        <v>3.733626049077923E-3</v>
      </c>
      <c r="AB1072">
        <v>0.46774707696614221</v>
      </c>
      <c r="AC1072">
        <v>7.4539216749303414E-5</v>
      </c>
      <c r="AD1072">
        <v>0.3716850598056044</v>
      </c>
      <c r="AE1072">
        <v>0.3707768654354216</v>
      </c>
    </row>
    <row r="1073" spans="23:31" x14ac:dyDescent="0.25">
      <c r="W1073">
        <v>65.900000000000006</v>
      </c>
      <c r="X1073">
        <v>68.185679164234557</v>
      </c>
      <c r="Y1073">
        <v>-2.2856791642345513</v>
      </c>
      <c r="Z1073">
        <v>-2.2942314412764802</v>
      </c>
      <c r="AA1073">
        <v>3.7277307284968378E-3</v>
      </c>
      <c r="AB1073">
        <v>-0.62135109545342593</v>
      </c>
      <c r="AC1073">
        <v>1.3132516135775507E-4</v>
      </c>
      <c r="AD1073">
        <v>0.3716850598056044</v>
      </c>
      <c r="AE1073">
        <v>0.37205280528288054</v>
      </c>
    </row>
    <row r="1074" spans="23:31" x14ac:dyDescent="0.25">
      <c r="W1074">
        <v>66.099999999999994</v>
      </c>
      <c r="X1074">
        <v>68.036265379951331</v>
      </c>
      <c r="Y1074">
        <v>-1.9362653799513367</v>
      </c>
      <c r="Z1074">
        <v>-1.9426078759687044</v>
      </c>
      <c r="AA1074">
        <v>3.2649388977726117E-3</v>
      </c>
      <c r="AB1074">
        <v>-0.52624239518570237</v>
      </c>
      <c r="AC1074">
        <v>8.2465881050773222E-5</v>
      </c>
      <c r="AD1074">
        <v>0.3716850598056044</v>
      </c>
      <c r="AE1074">
        <v>0.37275029877493909</v>
      </c>
    </row>
    <row r="1075" spans="23:31" x14ac:dyDescent="0.25">
      <c r="W1075">
        <v>65.8</v>
      </c>
      <c r="X1075">
        <v>67.208331313409161</v>
      </c>
      <c r="Y1075">
        <v>-1.408331313409164</v>
      </c>
      <c r="Z1075">
        <v>-1.4125228303243347</v>
      </c>
      <c r="AA1075">
        <v>2.9673976414305563E-3</v>
      </c>
      <c r="AB1075">
        <v>-0.38270221500785673</v>
      </c>
      <c r="AC1075">
        <v>3.9627406869519709E-5</v>
      </c>
      <c r="AD1075">
        <v>0.3716850598056044</v>
      </c>
      <c r="AE1075">
        <v>0.37415153818863567</v>
      </c>
    </row>
    <row r="1076" spans="23:31" x14ac:dyDescent="0.25">
      <c r="W1076">
        <v>64.3</v>
      </c>
      <c r="X1076">
        <v>64.913129381218596</v>
      </c>
      <c r="Y1076">
        <v>-0.61312938121859872</v>
      </c>
      <c r="Z1076">
        <v>-0.61501246463080861</v>
      </c>
      <c r="AA1076">
        <v>3.0618621906038082E-3</v>
      </c>
      <c r="AB1076">
        <v>-0.16662065714409097</v>
      </c>
      <c r="AC1076">
        <v>7.751440727452286E-6</v>
      </c>
      <c r="AD1076">
        <v>0.3716850598056044</v>
      </c>
      <c r="AE1076">
        <v>0.3757291829617555</v>
      </c>
    </row>
    <row r="1077" spans="23:31" x14ac:dyDescent="0.25">
      <c r="W1077">
        <v>63</v>
      </c>
      <c r="X1077">
        <v>63.796228597226239</v>
      </c>
      <c r="Y1077">
        <v>-0.79622859722623929</v>
      </c>
      <c r="Z1077">
        <v>-0.79819037560233852</v>
      </c>
      <c r="AA1077">
        <v>2.4577825492015219E-3</v>
      </c>
      <c r="AB1077">
        <v>-0.21631316374447995</v>
      </c>
      <c r="AC1077">
        <v>1.0480581630354085E-5</v>
      </c>
      <c r="AD1077">
        <v>0.3716850598056044</v>
      </c>
      <c r="AE1077">
        <v>0.37708805989150318</v>
      </c>
    </row>
    <row r="1078" spans="23:31" x14ac:dyDescent="0.25">
      <c r="W1078">
        <v>69.599999999999994</v>
      </c>
      <c r="X1078">
        <v>69.292029120742029</v>
      </c>
      <c r="Y1078">
        <v>0.30797087925796518</v>
      </c>
      <c r="Z1078">
        <v>0.30896553478540056</v>
      </c>
      <c r="AA1078">
        <v>3.2193090019551019E-3</v>
      </c>
      <c r="AB1078">
        <v>8.3699076213400142E-2</v>
      </c>
      <c r="AC1078">
        <v>2.0568929599007782E-6</v>
      </c>
      <c r="AD1078">
        <v>0.3716850598056044</v>
      </c>
      <c r="AE1078">
        <v>0.37777841020442882</v>
      </c>
    </row>
    <row r="1079" spans="23:31" x14ac:dyDescent="0.25">
      <c r="W1079">
        <v>69.3</v>
      </c>
      <c r="X1079">
        <v>69.042159265570348</v>
      </c>
      <c r="Y1079">
        <v>0.25784073442964939</v>
      </c>
      <c r="Z1079">
        <v>0.25863116266849318</v>
      </c>
      <c r="AA1079">
        <v>3.0561987607666185E-3</v>
      </c>
      <c r="AB1079">
        <v>7.0069176094121277E-2</v>
      </c>
      <c r="AC1079">
        <v>1.3682714164728794E-6</v>
      </c>
      <c r="AD1079">
        <v>0.3716850598056044</v>
      </c>
      <c r="AE1079">
        <v>0.38111186760254379</v>
      </c>
    </row>
    <row r="1080" spans="23:31" x14ac:dyDescent="0.25">
      <c r="W1080">
        <v>68.900000000000006</v>
      </c>
      <c r="X1080">
        <v>67.030825783682133</v>
      </c>
      <c r="Y1080">
        <v>1.8691742163178731</v>
      </c>
      <c r="Z1080">
        <v>1.8913821135452054</v>
      </c>
      <c r="AA1080">
        <v>1.1741623793677212E-2</v>
      </c>
      <c r="AB1080">
        <v>0.5101822557739758</v>
      </c>
      <c r="AC1080">
        <v>2.8113548869474321E-4</v>
      </c>
      <c r="AD1080">
        <v>0.3716850598056044</v>
      </c>
      <c r="AE1080">
        <v>0.3841588233668638</v>
      </c>
    </row>
    <row r="1081" spans="23:31" x14ac:dyDescent="0.25">
      <c r="W1081">
        <v>68.400000000000006</v>
      </c>
      <c r="X1081">
        <v>68.412713865371003</v>
      </c>
      <c r="Y1081">
        <v>-1.2713865370997723E-2</v>
      </c>
      <c r="Z1081">
        <v>-1.2753771005122871E-2</v>
      </c>
      <c r="AA1081">
        <v>3.1289282285533473E-3</v>
      </c>
      <c r="AB1081">
        <v>-3.4551661129206589E-3</v>
      </c>
      <c r="AC1081">
        <v>3.4064481758241269E-9</v>
      </c>
      <c r="AD1081">
        <v>0.3716850598056044</v>
      </c>
      <c r="AE1081">
        <v>0.38497434938889408</v>
      </c>
    </row>
    <row r="1082" spans="23:31" x14ac:dyDescent="0.25">
      <c r="W1082">
        <v>68</v>
      </c>
      <c r="X1082">
        <v>67.056727562888994</v>
      </c>
      <c r="Y1082">
        <v>0.9432724371110055</v>
      </c>
      <c r="Z1082">
        <v>0.94553050562734597</v>
      </c>
      <c r="AA1082">
        <v>2.3881498300754988E-3</v>
      </c>
      <c r="AB1082">
        <v>0.25625194161167064</v>
      </c>
      <c r="AC1082">
        <v>1.4290308862406971E-5</v>
      </c>
      <c r="AD1082">
        <v>0.39787592189543292</v>
      </c>
      <c r="AE1082">
        <v>0.38586890083884934</v>
      </c>
    </row>
    <row r="1083" spans="23:31" x14ac:dyDescent="0.25">
      <c r="W1083">
        <v>67.5</v>
      </c>
      <c r="X1083">
        <v>66.370172590124483</v>
      </c>
      <c r="Y1083">
        <v>1.1298274098755172</v>
      </c>
      <c r="Z1083">
        <v>1.1324421353240979</v>
      </c>
      <c r="AA1083">
        <v>2.3089263168672948E-3</v>
      </c>
      <c r="AB1083">
        <v>0.30691978360978944</v>
      </c>
      <c r="AC1083">
        <v>1.9818513128585635E-5</v>
      </c>
      <c r="AD1083">
        <v>0.39787592189543292</v>
      </c>
      <c r="AE1083">
        <v>0.38959299239588024</v>
      </c>
    </row>
    <row r="1084" spans="23:31" x14ac:dyDescent="0.25">
      <c r="W1084">
        <v>67</v>
      </c>
      <c r="X1084">
        <v>65.644399580199405</v>
      </c>
      <c r="Y1084">
        <v>1.3556004198005951</v>
      </c>
      <c r="Z1084">
        <v>1.3585722791333978</v>
      </c>
      <c r="AA1084">
        <v>2.1874870983678292E-3</v>
      </c>
      <c r="AB1084">
        <v>0.36822904514413179</v>
      </c>
      <c r="AC1084">
        <v>2.7023397704354125E-5</v>
      </c>
      <c r="AD1084">
        <v>0.39787592189543292</v>
      </c>
      <c r="AE1084">
        <v>0.39224467118205508</v>
      </c>
    </row>
    <row r="1085" spans="23:31" x14ac:dyDescent="0.25">
      <c r="W1085">
        <v>66.599999999999994</v>
      </c>
      <c r="X1085">
        <v>65.324270985097783</v>
      </c>
      <c r="Y1085">
        <v>1.2757290149022111</v>
      </c>
      <c r="Z1085">
        <v>1.2783931240607984</v>
      </c>
      <c r="AA1085">
        <v>2.0839514140432551E-3</v>
      </c>
      <c r="AB1085">
        <v>0.34651516793309584</v>
      </c>
      <c r="AC1085">
        <v>2.2795304428756805E-5</v>
      </c>
      <c r="AD1085">
        <v>0.39787592189543292</v>
      </c>
      <c r="AE1085">
        <v>0.39250309335140116</v>
      </c>
    </row>
    <row r="1086" spans="23:31" x14ac:dyDescent="0.25">
      <c r="W1086">
        <v>66</v>
      </c>
      <c r="X1086">
        <v>68.098938154022221</v>
      </c>
      <c r="Y1086">
        <v>-2.0989381540222212</v>
      </c>
      <c r="Z1086">
        <v>-2.1078322807685055</v>
      </c>
      <c r="AA1086">
        <v>4.2195609334896456E-3</v>
      </c>
      <c r="AB1086">
        <v>-0.57072732600066878</v>
      </c>
      <c r="AC1086">
        <v>1.2547821162550162E-4</v>
      </c>
      <c r="AD1086">
        <v>0.39787592189543292</v>
      </c>
      <c r="AE1086">
        <v>0.39571718713196963</v>
      </c>
    </row>
    <row r="1087" spans="23:31" x14ac:dyDescent="0.25">
      <c r="W1087">
        <v>65.400000000000006</v>
      </c>
      <c r="X1087">
        <v>67.369511640750787</v>
      </c>
      <c r="Y1087">
        <v>-1.9695116407507811</v>
      </c>
      <c r="Z1087">
        <v>-1.9775328868066424</v>
      </c>
      <c r="AA1087">
        <v>4.056188450453236E-3</v>
      </c>
      <c r="AB1087">
        <v>-0.53549072544473897</v>
      </c>
      <c r="AC1087">
        <v>1.0616821320115846E-4</v>
      </c>
      <c r="AD1087">
        <v>0.39787592189543292</v>
      </c>
      <c r="AE1087">
        <v>0.39694918786565975</v>
      </c>
    </row>
    <row r="1088" spans="23:31" x14ac:dyDescent="0.25">
      <c r="W1088">
        <v>64.7</v>
      </c>
      <c r="X1088">
        <v>62.318269959151181</v>
      </c>
      <c r="Y1088">
        <v>2.3817300408488222</v>
      </c>
      <c r="Z1088">
        <v>2.4051162692784089</v>
      </c>
      <c r="AA1088">
        <v>9.7235334226070773E-3</v>
      </c>
      <c r="AB1088">
        <v>0.649419201442197</v>
      </c>
      <c r="AC1088">
        <v>3.7646553086421108E-4</v>
      </c>
      <c r="AD1088">
        <v>0.39787592189543292</v>
      </c>
      <c r="AE1088">
        <v>0.39754809480057512</v>
      </c>
    </row>
    <row r="1089" spans="23:31" x14ac:dyDescent="0.25">
      <c r="W1089">
        <v>64.3</v>
      </c>
      <c r="X1089">
        <v>67.209608400931657</v>
      </c>
      <c r="Y1089">
        <v>-2.9096084009316598</v>
      </c>
      <c r="Z1089">
        <v>-2.9221889217253647</v>
      </c>
      <c r="AA1089">
        <v>4.3051702441857277E-3</v>
      </c>
      <c r="AB1089">
        <v>-0.79119263524152439</v>
      </c>
      <c r="AC1089">
        <v>2.460570793829459E-4</v>
      </c>
      <c r="AD1089">
        <v>0.39787592189543292</v>
      </c>
      <c r="AE1089">
        <v>0.39779834332115055</v>
      </c>
    </row>
    <row r="1090" spans="23:31" x14ac:dyDescent="0.25">
      <c r="W1090">
        <v>81.7</v>
      </c>
      <c r="X1090">
        <v>82.430954206673192</v>
      </c>
      <c r="Y1090">
        <v>-0.73095420667318933</v>
      </c>
      <c r="Z1090">
        <v>-0.74022212016905087</v>
      </c>
      <c r="AA1090">
        <v>1.2520449258867809E-2</v>
      </c>
      <c r="AB1090">
        <v>-0.19958915268562366</v>
      </c>
      <c r="AC1090">
        <v>4.5916945013738167E-5</v>
      </c>
      <c r="AD1090">
        <v>0.39787592189543292</v>
      </c>
      <c r="AE1090">
        <v>0.3991186913448555</v>
      </c>
    </row>
    <row r="1091" spans="23:31" x14ac:dyDescent="0.25">
      <c r="W1091">
        <v>81.400000000000006</v>
      </c>
      <c r="X1091">
        <v>83.211943938015736</v>
      </c>
      <c r="Y1091">
        <v>-1.8119439380157303</v>
      </c>
      <c r="Z1091">
        <v>-1.8234452303326094</v>
      </c>
      <c r="AA1091">
        <v>6.3074514800625647E-3</v>
      </c>
      <c r="AB1091">
        <v>-0.49320737248342539</v>
      </c>
      <c r="AC1091">
        <v>1.4036806713740762E-4</v>
      </c>
      <c r="AD1091">
        <v>0.39787592189543292</v>
      </c>
      <c r="AE1091">
        <v>0.4017643858255377</v>
      </c>
    </row>
    <row r="1092" spans="23:31" x14ac:dyDescent="0.25">
      <c r="W1092">
        <v>81.099999999999994</v>
      </c>
      <c r="X1092">
        <v>79.929004678131037</v>
      </c>
      <c r="Y1092">
        <v>1.1709953218689577</v>
      </c>
      <c r="Z1092">
        <v>1.187085921215953</v>
      </c>
      <c r="AA1092">
        <v>1.3554704894915167E-2</v>
      </c>
      <c r="AB1092">
        <v>0.31991122382065729</v>
      </c>
      <c r="AC1092">
        <v>1.2784487719384087E-4</v>
      </c>
      <c r="AD1092">
        <v>0.4143837514429769</v>
      </c>
      <c r="AE1092">
        <v>0.40700071054967407</v>
      </c>
    </row>
    <row r="1093" spans="23:31" x14ac:dyDescent="0.25">
      <c r="W1093">
        <v>81.099999999999994</v>
      </c>
      <c r="X1093">
        <v>80.276429959027567</v>
      </c>
      <c r="Y1093">
        <v>0.82357004097242736</v>
      </c>
      <c r="Z1093">
        <v>0.82898338612082512</v>
      </c>
      <c r="AA1093">
        <v>6.5301008910734308E-3</v>
      </c>
      <c r="AB1093">
        <v>0.22419917150308125</v>
      </c>
      <c r="AC1093">
        <v>3.0035889629572239E-5</v>
      </c>
      <c r="AD1093">
        <v>0.4143837514429769</v>
      </c>
      <c r="AE1093">
        <v>0.40734729354175714</v>
      </c>
    </row>
    <row r="1094" spans="23:31" x14ac:dyDescent="0.25">
      <c r="W1094">
        <v>74.5</v>
      </c>
      <c r="X1094">
        <v>71.246134823212003</v>
      </c>
      <c r="Y1094">
        <v>3.2538651767879969</v>
      </c>
      <c r="Z1094">
        <v>3.2641675475188663</v>
      </c>
      <c r="AA1094">
        <v>3.1562015677456421E-3</v>
      </c>
      <c r="AB1094">
        <v>0.88429428528420162</v>
      </c>
      <c r="AC1094">
        <v>2.2508086292893835E-4</v>
      </c>
      <c r="AD1094">
        <v>0.4143837514429769</v>
      </c>
      <c r="AE1094">
        <v>0.41275886608370899</v>
      </c>
    </row>
    <row r="1095" spans="23:31" x14ac:dyDescent="0.25">
      <c r="W1095">
        <v>73.900000000000006</v>
      </c>
      <c r="X1095">
        <v>70.777646877136434</v>
      </c>
      <c r="Y1095">
        <v>3.1223531228635721</v>
      </c>
      <c r="Z1095">
        <v>3.1300518207961829</v>
      </c>
      <c r="AA1095">
        <v>2.4596071801320819E-3</v>
      </c>
      <c r="AB1095">
        <v>0.84825727484465729</v>
      </c>
      <c r="AC1095">
        <v>1.6128640528026197E-4</v>
      </c>
      <c r="AD1095">
        <v>0.4143837514429769</v>
      </c>
      <c r="AE1095">
        <v>0.41336895854298716</v>
      </c>
    </row>
    <row r="1096" spans="23:31" x14ac:dyDescent="0.25">
      <c r="W1096">
        <v>73.900000000000006</v>
      </c>
      <c r="X1096">
        <v>70.677169760433316</v>
      </c>
      <c r="Y1096">
        <v>3.2228302395666901</v>
      </c>
      <c r="Z1096">
        <v>3.2305513775853711</v>
      </c>
      <c r="AA1096">
        <v>2.3900372153988214E-3</v>
      </c>
      <c r="AB1096">
        <v>0.87552360813664554</v>
      </c>
      <c r="AC1096">
        <v>1.669501920300648E-4</v>
      </c>
      <c r="AD1096">
        <v>0.4143837514429769</v>
      </c>
      <c r="AE1096">
        <v>0.41671503827760487</v>
      </c>
    </row>
    <row r="1097" spans="23:31" x14ac:dyDescent="0.25">
      <c r="W1097">
        <v>74.5</v>
      </c>
      <c r="X1097">
        <v>68.949725655873607</v>
      </c>
      <c r="Y1097">
        <v>5.5502743441263931</v>
      </c>
      <c r="Z1097">
        <v>5.5699336760450393</v>
      </c>
      <c r="AA1097">
        <v>3.5295450649970436E-3</v>
      </c>
      <c r="AB1097">
        <v>1.5086658407092468</v>
      </c>
      <c r="AC1097">
        <v>7.3290508331030489E-4</v>
      </c>
      <c r="AD1097">
        <v>0.4143837514429769</v>
      </c>
      <c r="AE1097">
        <v>0.41863526366950876</v>
      </c>
    </row>
    <row r="1098" spans="23:31" x14ac:dyDescent="0.25">
      <c r="W1098">
        <v>73.2</v>
      </c>
      <c r="X1098">
        <v>68.646832525026241</v>
      </c>
      <c r="Y1098">
        <v>4.5531674749737618</v>
      </c>
      <c r="Z1098">
        <v>4.5697627931056815</v>
      </c>
      <c r="AA1098">
        <v>3.6315491379461618E-3</v>
      </c>
      <c r="AB1098">
        <v>1.2376973501009765</v>
      </c>
      <c r="AC1098">
        <v>5.0758431627520378E-4</v>
      </c>
      <c r="AD1098">
        <v>0.4143837514429769</v>
      </c>
      <c r="AE1098">
        <v>0.419543051719311</v>
      </c>
    </row>
    <row r="1099" spans="23:31" x14ac:dyDescent="0.25">
      <c r="W1099">
        <v>73.2</v>
      </c>
      <c r="X1099">
        <v>70.021577832981336</v>
      </c>
      <c r="Y1099">
        <v>3.1784221670186668</v>
      </c>
      <c r="Z1099">
        <v>3.1838409654913136</v>
      </c>
      <c r="AA1099">
        <v>1.7019689523992171E-3</v>
      </c>
      <c r="AB1099">
        <v>0.86316196231605491</v>
      </c>
      <c r="AC1099">
        <v>1.1547376363302273E-4</v>
      </c>
      <c r="AD1099">
        <v>0.4143837514429769</v>
      </c>
      <c r="AE1099">
        <v>0.42188177798402027</v>
      </c>
    </row>
    <row r="1100" spans="23:31" x14ac:dyDescent="0.25">
      <c r="W1100">
        <v>72.5</v>
      </c>
      <c r="X1100">
        <v>69.590723582873508</v>
      </c>
      <c r="Y1100">
        <v>2.9092764171264918</v>
      </c>
      <c r="Z1100">
        <v>2.9143866032630399</v>
      </c>
      <c r="AA1100">
        <v>1.7534345411925139E-3</v>
      </c>
      <c r="AB1100">
        <v>0.7900905988671576</v>
      </c>
      <c r="AC1100">
        <v>9.9681103295072281E-5</v>
      </c>
      <c r="AD1100">
        <v>0.4143837514429769</v>
      </c>
      <c r="AE1100">
        <v>0.42227912474332713</v>
      </c>
    </row>
    <row r="1101" spans="23:31" x14ac:dyDescent="0.25">
      <c r="W1101">
        <v>72.5</v>
      </c>
      <c r="X1101">
        <v>69.215349997850538</v>
      </c>
      <c r="Y1101">
        <v>3.284650002149462</v>
      </c>
      <c r="Z1101">
        <v>3.2899316548544846</v>
      </c>
      <c r="AA1101">
        <v>1.605398913752686E-3</v>
      </c>
      <c r="AB1101">
        <v>0.89196704276476846</v>
      </c>
      <c r="AC1101">
        <v>1.1630159522652335E-4</v>
      </c>
      <c r="AD1101">
        <v>0.4143837514429769</v>
      </c>
      <c r="AE1101">
        <v>0.4224926320857928</v>
      </c>
    </row>
    <row r="1102" spans="23:31" x14ac:dyDescent="0.25">
      <c r="W1102">
        <v>73</v>
      </c>
      <c r="X1102">
        <v>71.683571608064014</v>
      </c>
      <c r="Y1102">
        <v>1.316428391935986</v>
      </c>
      <c r="Z1102">
        <v>1.3200230930273307</v>
      </c>
      <c r="AA1102">
        <v>2.7232107607285143E-3</v>
      </c>
      <c r="AB1102">
        <v>0.35768456915936442</v>
      </c>
      <c r="AC1102">
        <v>3.1759471541208036E-5</v>
      </c>
      <c r="AD1102">
        <v>0.4143837514429769</v>
      </c>
      <c r="AE1102">
        <v>0.42275377795317043</v>
      </c>
    </row>
    <row r="1103" spans="23:31" x14ac:dyDescent="0.25">
      <c r="W1103">
        <v>71.2</v>
      </c>
      <c r="X1103">
        <v>68.427974532668074</v>
      </c>
      <c r="Y1103">
        <v>2.7720254673319289</v>
      </c>
      <c r="Z1103">
        <v>2.7755804337013643</v>
      </c>
      <c r="AA1103">
        <v>1.2808010628219475E-3</v>
      </c>
      <c r="AB1103">
        <v>0.75263833789892998</v>
      </c>
      <c r="AC1103">
        <v>6.6041703761581753E-5</v>
      </c>
      <c r="AD1103">
        <v>0.4143837514429769</v>
      </c>
      <c r="AE1103">
        <v>0.42514092593651021</v>
      </c>
    </row>
    <row r="1104" spans="23:31" x14ac:dyDescent="0.25">
      <c r="W1104">
        <v>71</v>
      </c>
      <c r="X1104">
        <v>68.105590752446673</v>
      </c>
      <c r="Y1104">
        <v>2.8944092475533267</v>
      </c>
      <c r="Z1104">
        <v>2.8980665334291587</v>
      </c>
      <c r="AA1104">
        <v>1.2619744349032951E-3</v>
      </c>
      <c r="AB1104">
        <v>0.78585960286838219</v>
      </c>
      <c r="AC1104">
        <v>7.0940821838819663E-5</v>
      </c>
      <c r="AD1104">
        <v>0.43434378704136062</v>
      </c>
      <c r="AE1104">
        <v>0.43299057567433646</v>
      </c>
    </row>
    <row r="1105" spans="23:31" x14ac:dyDescent="0.25">
      <c r="W1105">
        <v>76</v>
      </c>
      <c r="X1105">
        <v>68.097405048983958</v>
      </c>
      <c r="Y1105">
        <v>7.9025949510160416</v>
      </c>
      <c r="Z1105">
        <v>7.9125211077808615</v>
      </c>
      <c r="AA1105">
        <v>1.2544872398574645E-3</v>
      </c>
      <c r="AB1105">
        <v>2.1456215484601868</v>
      </c>
      <c r="AC1105">
        <v>5.2568425109322738E-4</v>
      </c>
      <c r="AD1105">
        <v>0.43434378704136062</v>
      </c>
      <c r="AE1105">
        <v>0.43300988288473446</v>
      </c>
    </row>
    <row r="1106" spans="23:31" x14ac:dyDescent="0.25">
      <c r="W1106">
        <v>75</v>
      </c>
      <c r="X1106">
        <v>67.680291396307609</v>
      </c>
      <c r="Y1106">
        <v>7.3197086036923906</v>
      </c>
      <c r="Z1106">
        <v>7.3291726710086778</v>
      </c>
      <c r="AA1106">
        <v>1.2912872627124728E-3</v>
      </c>
      <c r="AB1106">
        <v>1.9873995763421752</v>
      </c>
      <c r="AC1106">
        <v>4.6426049394472435E-4</v>
      </c>
      <c r="AD1106">
        <v>0.43434378704136062</v>
      </c>
      <c r="AE1106">
        <v>0.43809262951942812</v>
      </c>
    </row>
    <row r="1107" spans="23:31" x14ac:dyDescent="0.25">
      <c r="W1107">
        <v>73</v>
      </c>
      <c r="X1107">
        <v>67.396280847171056</v>
      </c>
      <c r="Y1107">
        <v>5.6037191528289441</v>
      </c>
      <c r="Z1107">
        <v>5.6118965539069023</v>
      </c>
      <c r="AA1107">
        <v>1.4571546355861349E-3</v>
      </c>
      <c r="AB1107">
        <v>1.5216116652997433</v>
      </c>
      <c r="AC1107">
        <v>3.0715239849370856E-4</v>
      </c>
      <c r="AD1107">
        <v>0.43434378704136062</v>
      </c>
      <c r="AE1107">
        <v>0.43855704261848383</v>
      </c>
    </row>
    <row r="1108" spans="23:31" x14ac:dyDescent="0.25">
      <c r="W1108">
        <v>73</v>
      </c>
      <c r="X1108">
        <v>66.937674130950299</v>
      </c>
      <c r="Y1108">
        <v>6.0623258690497011</v>
      </c>
      <c r="Z1108">
        <v>6.0717320261977505</v>
      </c>
      <c r="AA1108">
        <v>1.5491719837881302E-3</v>
      </c>
      <c r="AB1108">
        <v>1.6462157659210326</v>
      </c>
      <c r="AC1108">
        <v>3.8225553352665067E-4</v>
      </c>
      <c r="AD1108">
        <v>0.43434378704136062</v>
      </c>
      <c r="AE1108">
        <v>0.44231667556404908</v>
      </c>
    </row>
    <row r="1109" spans="23:31" x14ac:dyDescent="0.25">
      <c r="W1109">
        <v>61.4</v>
      </c>
      <c r="X1109">
        <v>58.602101659707131</v>
      </c>
      <c r="Y1109">
        <v>2.7978983402928677</v>
      </c>
      <c r="Z1109">
        <v>2.8129683667913667</v>
      </c>
      <c r="AA1109">
        <v>5.3573394839455842E-3</v>
      </c>
      <c r="AB1109">
        <v>0.76121828100971101</v>
      </c>
      <c r="AC1109">
        <v>2.8373167322941244E-4</v>
      </c>
      <c r="AD1109">
        <v>0.43434378704136062</v>
      </c>
      <c r="AE1109">
        <v>0.4445680685898129</v>
      </c>
    </row>
    <row r="1110" spans="23:31" x14ac:dyDescent="0.25">
      <c r="W1110">
        <v>69</v>
      </c>
      <c r="X1110">
        <v>58.423256534417071</v>
      </c>
      <c r="Y1110">
        <v>10.576743465582929</v>
      </c>
      <c r="Z1110">
        <v>10.633641230200666</v>
      </c>
      <c r="AA1110">
        <v>5.350732019822323E-3</v>
      </c>
      <c r="AB1110">
        <v>2.8775826560347393</v>
      </c>
      <c r="AC1110">
        <v>4.0495443784340206E-3</v>
      </c>
      <c r="AD1110">
        <v>0.43434378704136062</v>
      </c>
      <c r="AE1110">
        <v>0.44749470490448717</v>
      </c>
    </row>
    <row r="1111" spans="23:31" x14ac:dyDescent="0.25">
      <c r="W1111">
        <v>63</v>
      </c>
      <c r="X1111">
        <v>58.082515816402029</v>
      </c>
      <c r="Y1111">
        <v>4.9174841835979706</v>
      </c>
      <c r="Z1111">
        <v>4.9457513020226074</v>
      </c>
      <c r="AA1111">
        <v>5.7154346626924393E-3</v>
      </c>
      <c r="AB1111">
        <v>1.3381304174760797</v>
      </c>
      <c r="AC1111">
        <v>9.357132241583359E-4</v>
      </c>
      <c r="AD1111">
        <v>0.43434378704136062</v>
      </c>
      <c r="AE1111">
        <v>0.44756001963181408</v>
      </c>
    </row>
    <row r="1112" spans="23:31" x14ac:dyDescent="0.25">
      <c r="W1112">
        <v>59.4</v>
      </c>
      <c r="X1112">
        <v>57.651427673961933</v>
      </c>
      <c r="Y1112">
        <v>1.7485723260380652</v>
      </c>
      <c r="Z1112">
        <v>1.7601002592966424</v>
      </c>
      <c r="AA1112">
        <v>6.5495889780654562E-3</v>
      </c>
      <c r="AB1112">
        <v>0.47601575144189584</v>
      </c>
      <c r="AC1112">
        <v>1.3580564272683756E-4</v>
      </c>
      <c r="AD1112">
        <v>0.43434378704136062</v>
      </c>
      <c r="AE1112">
        <v>0.45031425503055533</v>
      </c>
    </row>
    <row r="1113" spans="23:31" x14ac:dyDescent="0.25">
      <c r="W1113">
        <v>58.2</v>
      </c>
      <c r="X1113">
        <v>55.453322067327093</v>
      </c>
      <c r="Y1113">
        <v>2.7466779326729096</v>
      </c>
      <c r="Z1113">
        <v>2.7808686226528962</v>
      </c>
      <c r="AA1113">
        <v>1.229496773111506E-2</v>
      </c>
      <c r="AB1113">
        <v>0.7499027135540649</v>
      </c>
      <c r="AC1113">
        <v>6.3638112766106964E-4</v>
      </c>
      <c r="AD1113">
        <v>0.43434378704136062</v>
      </c>
      <c r="AE1113">
        <v>0.45162009063088243</v>
      </c>
    </row>
    <row r="1114" spans="23:31" x14ac:dyDescent="0.25">
      <c r="W1114">
        <v>57.1</v>
      </c>
      <c r="X1114">
        <v>56.241887986627162</v>
      </c>
      <c r="Y1114">
        <v>0.85811201337283904</v>
      </c>
      <c r="Z1114">
        <v>0.86476283988063329</v>
      </c>
      <c r="AA1114">
        <v>7.690925420326471E-3</v>
      </c>
      <c r="AB1114">
        <v>0.23373907476239161</v>
      </c>
      <c r="AC1114">
        <v>3.8494757936621134E-5</v>
      </c>
      <c r="AD1114">
        <v>0.43434378704136062</v>
      </c>
      <c r="AE1114">
        <v>0.45205013034874841</v>
      </c>
    </row>
    <row r="1115" spans="23:31" x14ac:dyDescent="0.25">
      <c r="W1115">
        <v>53.6</v>
      </c>
      <c r="X1115">
        <v>59.259226085377612</v>
      </c>
      <c r="Y1115">
        <v>-5.6592260853776111</v>
      </c>
      <c r="Z1115">
        <v>-5.7494513097130593</v>
      </c>
      <c r="AA1115">
        <v>1.5692840842572331E-2</v>
      </c>
      <c r="AB1115">
        <v>-1.547756164365848</v>
      </c>
      <c r="AC1115">
        <v>3.472028855555595E-3</v>
      </c>
      <c r="AD1115">
        <v>0.43434378704136062</v>
      </c>
      <c r="AE1115">
        <v>0.45362617935501909</v>
      </c>
    </row>
    <row r="1116" spans="23:31" x14ac:dyDescent="0.25">
      <c r="W1116">
        <v>53.2</v>
      </c>
      <c r="X1116">
        <v>57.991165916917055</v>
      </c>
      <c r="Y1116">
        <v>-4.791165916917052</v>
      </c>
      <c r="Z1116">
        <v>-4.873199819083041</v>
      </c>
      <c r="AA1116">
        <v>1.6833683249504787E-2</v>
      </c>
      <c r="AB1116">
        <v>-1.3111082044274813</v>
      </c>
      <c r="AC1116">
        <v>2.6756946159514575E-3</v>
      </c>
      <c r="AD1116">
        <v>0.43434378704136062</v>
      </c>
      <c r="AE1116">
        <v>0.45389920659410643</v>
      </c>
    </row>
    <row r="1117" spans="23:31" x14ac:dyDescent="0.25">
      <c r="W1117">
        <v>52.7</v>
      </c>
      <c r="X1117">
        <v>57.294595020347032</v>
      </c>
      <c r="Y1117">
        <v>-4.5945950203470289</v>
      </c>
      <c r="Z1117">
        <v>-4.6784307425370102</v>
      </c>
      <c r="AA1117">
        <v>1.7919624507366727E-2</v>
      </c>
      <c r="AB1117">
        <v>-1.2580112972048387</v>
      </c>
      <c r="AC1117">
        <v>2.6251750589962046E-3</v>
      </c>
      <c r="AD1117">
        <v>0.43434378704136062</v>
      </c>
      <c r="AE1117">
        <v>0.45576185994472462</v>
      </c>
    </row>
    <row r="1118" spans="23:31" x14ac:dyDescent="0.25">
      <c r="W1118">
        <v>52.3</v>
      </c>
      <c r="X1118">
        <v>57.054891218683053</v>
      </c>
      <c r="Y1118">
        <v>-4.7548912186830563</v>
      </c>
      <c r="Z1118">
        <v>-4.8420446411523912</v>
      </c>
      <c r="AA1118">
        <v>1.7999301726510736E-2</v>
      </c>
      <c r="AB1118">
        <v>-1.3019536018864721</v>
      </c>
      <c r="AC1118">
        <v>2.8245039751607507E-3</v>
      </c>
      <c r="AD1118">
        <v>0.43434378704136062</v>
      </c>
      <c r="AE1118">
        <v>0.45578117308783733</v>
      </c>
    </row>
    <row r="1119" spans="23:31" x14ac:dyDescent="0.25">
      <c r="W1119">
        <v>52</v>
      </c>
      <c r="X1119">
        <v>56.876403860728232</v>
      </c>
      <c r="Y1119">
        <v>-4.8764038607282316</v>
      </c>
      <c r="Z1119">
        <v>-4.967817290381042</v>
      </c>
      <c r="AA1119">
        <v>1.8401125546588338E-2</v>
      </c>
      <c r="AB1119">
        <v>-1.3354986722837776</v>
      </c>
      <c r="AC1119">
        <v>3.0395169719215701E-3</v>
      </c>
      <c r="AD1119">
        <v>0.43434378704136062</v>
      </c>
      <c r="AE1119">
        <v>0.45579508186521545</v>
      </c>
    </row>
    <row r="1120" spans="23:31" x14ac:dyDescent="0.25">
      <c r="W1120">
        <v>51.6</v>
      </c>
      <c r="X1120">
        <v>56.688556329439379</v>
      </c>
      <c r="Y1120">
        <v>-5.0885563294393776</v>
      </c>
      <c r="Z1120">
        <v>-5.185887598333295</v>
      </c>
      <c r="AA1120">
        <v>1.8768487948948202E-2</v>
      </c>
      <c r="AB1120">
        <v>-1.3938616296418964</v>
      </c>
      <c r="AC1120">
        <v>3.3783484341114488E-3</v>
      </c>
      <c r="AD1120">
        <v>0.43434378704136062</v>
      </c>
      <c r="AE1120">
        <v>0.45733738170439736</v>
      </c>
    </row>
    <row r="1121" spans="23:31" x14ac:dyDescent="0.25">
      <c r="W1121">
        <v>59</v>
      </c>
      <c r="X1121">
        <v>56.039922303823502</v>
      </c>
      <c r="Y1121">
        <v>2.9600776961764979</v>
      </c>
      <c r="Z1121">
        <v>3.0203748305443838</v>
      </c>
      <c r="AA1121">
        <v>1.9963460746034983E-2</v>
      </c>
      <c r="AB1121">
        <v>0.81132114816134726</v>
      </c>
      <c r="AC1121">
        <v>1.2189516235488712E-3</v>
      </c>
      <c r="AD1121">
        <v>0.43434378704136062</v>
      </c>
      <c r="AE1121">
        <v>0.45827021865123835</v>
      </c>
    </row>
    <row r="1122" spans="23:31" x14ac:dyDescent="0.25">
      <c r="W1122">
        <v>55</v>
      </c>
      <c r="X1122">
        <v>54.821399876930357</v>
      </c>
      <c r="Y1122">
        <v>0.17860012306964279</v>
      </c>
      <c r="Z1122">
        <v>0.18250702075292224</v>
      </c>
      <c r="AA1122">
        <v>2.1406835020174927E-2</v>
      </c>
      <c r="AB1122">
        <v>4.898820028968822E-2</v>
      </c>
      <c r="AC1122">
        <v>4.7724410033562011E-6</v>
      </c>
      <c r="AD1122">
        <v>0.43434378704136062</v>
      </c>
      <c r="AE1122">
        <v>0.45833839631524881</v>
      </c>
    </row>
    <row r="1123" spans="23:31" x14ac:dyDescent="0.25">
      <c r="W1123">
        <v>49.8</v>
      </c>
      <c r="X1123">
        <v>54.123493619934486</v>
      </c>
      <c r="Y1123">
        <v>-4.3234936199344887</v>
      </c>
      <c r="Z1123">
        <v>-4.4433973260930131</v>
      </c>
      <c r="AA1123">
        <v>2.6984691522950868E-2</v>
      </c>
      <c r="AB1123">
        <v>-1.1892846291957977</v>
      </c>
      <c r="AC1123">
        <v>3.5659620038640434E-3</v>
      </c>
      <c r="AD1123">
        <v>0.4663087141536239</v>
      </c>
      <c r="AE1123">
        <v>0.46022194249532722</v>
      </c>
    </row>
    <row r="1124" spans="23:31" x14ac:dyDescent="0.25">
      <c r="W1124">
        <v>49.2</v>
      </c>
      <c r="X1124">
        <v>61.725059026751531</v>
      </c>
      <c r="Y1124">
        <v>-12.525059026751528</v>
      </c>
      <c r="Z1124">
        <v>-12.864905612366265</v>
      </c>
      <c r="AA1124">
        <v>2.6416562690367951E-2</v>
      </c>
      <c r="AB1124">
        <v>-3.4443241183520934</v>
      </c>
      <c r="AC1124">
        <v>2.926297458378949E-2</v>
      </c>
      <c r="AD1124">
        <v>0.4663087141536239</v>
      </c>
      <c r="AE1124">
        <v>0.46603170266999894</v>
      </c>
    </row>
    <row r="1125" spans="23:31" x14ac:dyDescent="0.25">
      <c r="W1125">
        <v>66.2</v>
      </c>
      <c r="X1125">
        <v>63.691242650532367</v>
      </c>
      <c r="Y1125">
        <v>2.5087573494676363</v>
      </c>
      <c r="Z1125">
        <v>2.5249425059503992</v>
      </c>
      <c r="AA1125">
        <v>6.4101089211432262E-3</v>
      </c>
      <c r="AB1125">
        <v>0.68291381074906643</v>
      </c>
      <c r="AC1125">
        <v>2.7352520426629094E-4</v>
      </c>
      <c r="AD1125">
        <v>0.4663087141536239</v>
      </c>
      <c r="AE1125">
        <v>0.46656159993257784</v>
      </c>
    </row>
    <row r="1126" spans="23:31" x14ac:dyDescent="0.25">
      <c r="W1126">
        <v>66</v>
      </c>
      <c r="X1126">
        <v>63.495958449459891</v>
      </c>
      <c r="Y1126">
        <v>2.5040415505401086</v>
      </c>
      <c r="Z1126">
        <v>2.5204932977199732</v>
      </c>
      <c r="AA1126">
        <v>6.5271933850193581E-3</v>
      </c>
      <c r="AB1126">
        <v>0.68167027891393628</v>
      </c>
      <c r="AC1126">
        <v>2.7754060378711102E-4</v>
      </c>
      <c r="AD1126">
        <v>0.4663087141536239</v>
      </c>
      <c r="AE1126">
        <v>0.46743066108799169</v>
      </c>
    </row>
    <row r="1127" spans="23:31" x14ac:dyDescent="0.25">
      <c r="W1127">
        <v>65.7</v>
      </c>
      <c r="X1127">
        <v>63.23880950246982</v>
      </c>
      <c r="Y1127">
        <v>2.4611904975301826</v>
      </c>
      <c r="Z1127">
        <v>2.4775153852006326</v>
      </c>
      <c r="AA1127">
        <v>6.5892174748817273E-3</v>
      </c>
      <c r="AB1127">
        <v>0.67002593722182324</v>
      </c>
      <c r="AC1127">
        <v>2.7070452580477323E-4</v>
      </c>
      <c r="AD1127">
        <v>0.4663087141536239</v>
      </c>
      <c r="AE1127">
        <v>0.46774707696614221</v>
      </c>
    </row>
    <row r="1128" spans="23:31" x14ac:dyDescent="0.25">
      <c r="W1128">
        <v>65.5</v>
      </c>
      <c r="X1128">
        <v>63.102547036884268</v>
      </c>
      <c r="Y1128">
        <v>2.3974529631157324</v>
      </c>
      <c r="Z1128">
        <v>2.4133183671801319</v>
      </c>
      <c r="AA1128">
        <v>6.5741032265621063E-3</v>
      </c>
      <c r="AB1128">
        <v>0.65266928763097931</v>
      </c>
      <c r="AC1128">
        <v>2.5626819525087984E-4</v>
      </c>
      <c r="AD1128">
        <v>0.4663087141536239</v>
      </c>
      <c r="AE1128">
        <v>0.46901182083014159</v>
      </c>
    </row>
    <row r="1129" spans="23:31" x14ac:dyDescent="0.25">
      <c r="W1129">
        <v>65.099999999999994</v>
      </c>
      <c r="X1129">
        <v>63.097028634698951</v>
      </c>
      <c r="Y1129">
        <v>2.0029713653010432</v>
      </c>
      <c r="Z1129">
        <v>2.0165445183373834</v>
      </c>
      <c r="AA1129">
        <v>6.730896795439055E-3</v>
      </c>
      <c r="AB1129">
        <v>0.54532084302031125</v>
      </c>
      <c r="AC1129">
        <v>1.831966445546633E-4</v>
      </c>
      <c r="AD1129">
        <v>0.4663087141536239</v>
      </c>
      <c r="AE1129">
        <v>0.47187435120973531</v>
      </c>
    </row>
    <row r="1130" spans="23:31" x14ac:dyDescent="0.25">
      <c r="W1130">
        <v>64.8</v>
      </c>
      <c r="X1130">
        <v>62.50899554196009</v>
      </c>
      <c r="Y1130">
        <v>2.2910044580399074</v>
      </c>
      <c r="Z1130">
        <v>2.3063636253086486</v>
      </c>
      <c r="AA1130">
        <v>6.6594734239632481E-3</v>
      </c>
      <c r="AB1130">
        <v>0.62371713763766934</v>
      </c>
      <c r="AC1130">
        <v>2.3709609708556288E-4</v>
      </c>
      <c r="AD1130">
        <v>0.4663087141536239</v>
      </c>
      <c r="AE1130">
        <v>0.47472303143413264</v>
      </c>
    </row>
    <row r="1131" spans="23:31" x14ac:dyDescent="0.25">
      <c r="W1131">
        <v>64.599999999999994</v>
      </c>
      <c r="X1131">
        <v>61.585857920802752</v>
      </c>
      <c r="Y1131">
        <v>3.0141420791972422</v>
      </c>
      <c r="Z1131">
        <v>3.0356034345610041</v>
      </c>
      <c r="AA1131">
        <v>7.0698811048308437E-3</v>
      </c>
      <c r="AB1131">
        <v>0.82075813848454837</v>
      </c>
      <c r="AC1131">
        <v>4.3604482458844507E-4</v>
      </c>
      <c r="AD1131">
        <v>0.4663087141536239</v>
      </c>
      <c r="AE1131">
        <v>0.47526568939070124</v>
      </c>
    </row>
    <row r="1132" spans="23:31" x14ac:dyDescent="0.25">
      <c r="W1132">
        <v>64.400000000000006</v>
      </c>
      <c r="X1132">
        <v>61.200934386953229</v>
      </c>
      <c r="Y1132">
        <v>3.1990656130467769</v>
      </c>
      <c r="Z1132">
        <v>3.2233991227932179</v>
      </c>
      <c r="AA1132">
        <v>7.5490216443805042E-3</v>
      </c>
      <c r="AB1132">
        <v>0.87132351644840422</v>
      </c>
      <c r="AC1132">
        <v>5.2498608483838389E-4</v>
      </c>
      <c r="AD1132">
        <v>0.48161589062349974</v>
      </c>
      <c r="AE1132">
        <v>0.47597244042845599</v>
      </c>
    </row>
    <row r="1133" spans="23:31" x14ac:dyDescent="0.25">
      <c r="W1133">
        <v>64.2</v>
      </c>
      <c r="X1133">
        <v>61.701014506958643</v>
      </c>
      <c r="Y1133">
        <v>2.49898549304136</v>
      </c>
      <c r="Z1133">
        <v>2.5178557201912781</v>
      </c>
      <c r="AA1133">
        <v>7.4945625353314092E-3</v>
      </c>
      <c r="AB1133">
        <v>0.6806253299815177</v>
      </c>
      <c r="AC1133">
        <v>3.1800717818533962E-4</v>
      </c>
      <c r="AD1133">
        <v>0.48161589062349974</v>
      </c>
      <c r="AE1133">
        <v>0.47601575144189584</v>
      </c>
    </row>
    <row r="1134" spans="23:31" x14ac:dyDescent="0.25">
      <c r="W1134">
        <v>62.9</v>
      </c>
      <c r="X1134">
        <v>64.305949580364484</v>
      </c>
      <c r="Y1134">
        <v>-1.405949580364485</v>
      </c>
      <c r="Z1134">
        <v>-1.4213556254130353</v>
      </c>
      <c r="AA1134">
        <v>1.0838979895737403E-2</v>
      </c>
      <c r="AB1134">
        <v>-0.38357215242881054</v>
      </c>
      <c r="AC1134">
        <v>1.4656250223709058E-4</v>
      </c>
      <c r="AD1134">
        <v>0.48161589062349974</v>
      </c>
      <c r="AE1134">
        <v>0.47753399254484741</v>
      </c>
    </row>
    <row r="1135" spans="23:31" x14ac:dyDescent="0.25">
      <c r="W1135">
        <v>63.7</v>
      </c>
      <c r="X1135">
        <v>60.12493454994307</v>
      </c>
      <c r="Y1135">
        <v>3.5750654500569325</v>
      </c>
      <c r="Z1135">
        <v>3.6064129746293787</v>
      </c>
      <c r="AA1135">
        <v>8.6921616556324115E-3</v>
      </c>
      <c r="AB1135">
        <v>0.9742951640850116</v>
      </c>
      <c r="AC1135">
        <v>7.5667199934354498E-4</v>
      </c>
      <c r="AD1135">
        <v>0.48161589062349974</v>
      </c>
      <c r="AE1135">
        <v>0.47769319593144632</v>
      </c>
    </row>
    <row r="1136" spans="23:31" x14ac:dyDescent="0.25">
      <c r="W1136">
        <v>63.5</v>
      </c>
      <c r="X1136">
        <v>60.009830379843883</v>
      </c>
      <c r="Y1136">
        <v>3.4901696201561165</v>
      </c>
      <c r="Z1136">
        <v>3.5205216248989899</v>
      </c>
      <c r="AA1136">
        <v>8.6214510168628328E-3</v>
      </c>
      <c r="AB1136">
        <v>0.95112499572027187</v>
      </c>
      <c r="AC1136">
        <v>7.151931605836573E-4</v>
      </c>
      <c r="AD1136">
        <v>0.48161589062349974</v>
      </c>
      <c r="AE1136">
        <v>0.47993709447156552</v>
      </c>
    </row>
    <row r="1137" spans="23:31" x14ac:dyDescent="0.25">
      <c r="W1137">
        <v>77.599999999999994</v>
      </c>
      <c r="X1137">
        <v>73.034962365683057</v>
      </c>
      <c r="Y1137">
        <v>4.565037634316937</v>
      </c>
      <c r="Z1137">
        <v>4.6222341618458813</v>
      </c>
      <c r="AA1137">
        <v>1.2374216780506007E-2</v>
      </c>
      <c r="AB1137">
        <v>1.2464043976642756</v>
      </c>
      <c r="AC1137">
        <v>1.7694999754645404E-3</v>
      </c>
      <c r="AD1137">
        <v>0.48161589062349974</v>
      </c>
      <c r="AE1137">
        <v>0.48110555345174733</v>
      </c>
    </row>
    <row r="1138" spans="23:31" x14ac:dyDescent="0.25">
      <c r="W1138">
        <v>77.5</v>
      </c>
      <c r="X1138">
        <v>72.817634230904275</v>
      </c>
      <c r="Y1138">
        <v>4.6823657690957248</v>
      </c>
      <c r="Z1138">
        <v>4.7426754192589016</v>
      </c>
      <c r="AA1138">
        <v>1.2716377325395257E-2</v>
      </c>
      <c r="AB1138">
        <v>1.2786603247140442</v>
      </c>
      <c r="AC1138">
        <v>1.9144285726679963E-3</v>
      </c>
      <c r="AD1138">
        <v>0.48161589062349974</v>
      </c>
      <c r="AE1138">
        <v>0.48298823621160675</v>
      </c>
    </row>
    <row r="1139" spans="23:31" x14ac:dyDescent="0.25">
      <c r="W1139">
        <v>77.2</v>
      </c>
      <c r="X1139">
        <v>75.395264697253523</v>
      </c>
      <c r="Y1139">
        <v>1.8047353027464794</v>
      </c>
      <c r="Z1139">
        <v>1.8101176370249874</v>
      </c>
      <c r="AA1139">
        <v>2.9734720928695241E-3</v>
      </c>
      <c r="AB1139">
        <v>0.49042316625375559</v>
      </c>
      <c r="AC1139">
        <v>6.5208832055227265E-5</v>
      </c>
      <c r="AD1139">
        <v>0.48161589062349974</v>
      </c>
      <c r="AE1139">
        <v>0.48367086085981964</v>
      </c>
    </row>
    <row r="1140" spans="23:31" x14ac:dyDescent="0.25">
      <c r="W1140">
        <v>77.3</v>
      </c>
      <c r="X1140">
        <v>73.439950136611884</v>
      </c>
      <c r="Y1140">
        <v>3.8600498633881131</v>
      </c>
      <c r="Z1140">
        <v>3.8677745115946891</v>
      </c>
      <c r="AA1140">
        <v>1.9971816307851674E-3</v>
      </c>
      <c r="AB1140">
        <v>1.0484261653353975</v>
      </c>
      <c r="AC1140">
        <v>1.9997182588811074E-4</v>
      </c>
      <c r="AD1140">
        <v>0.48161589062349974</v>
      </c>
      <c r="AE1140">
        <v>0.48432167038599855</v>
      </c>
    </row>
    <row r="1141" spans="23:31" x14ac:dyDescent="0.25">
      <c r="W1141">
        <v>76.5</v>
      </c>
      <c r="X1141">
        <v>73.991746967928634</v>
      </c>
      <c r="Y1141">
        <v>2.5082530320713659</v>
      </c>
      <c r="Z1141">
        <v>2.5136629593511941</v>
      </c>
      <c r="AA1141">
        <v>2.1522086959615471E-3</v>
      </c>
      <c r="AB1141">
        <v>0.68131823982539197</v>
      </c>
      <c r="AC1141">
        <v>9.1018029252216983E-5</v>
      </c>
      <c r="AD1141">
        <v>0.48161589062349974</v>
      </c>
      <c r="AE1141">
        <v>0.48594895923087278</v>
      </c>
    </row>
    <row r="1142" spans="23:31" x14ac:dyDescent="0.25">
      <c r="W1142">
        <v>76.8</v>
      </c>
      <c r="X1142">
        <v>73.557248766533377</v>
      </c>
      <c r="Y1142">
        <v>3.2427512334666204</v>
      </c>
      <c r="Z1142">
        <v>3.2481654924014265</v>
      </c>
      <c r="AA1142">
        <v>1.6668667121387459E-3</v>
      </c>
      <c r="AB1142">
        <v>0.88061628145005288</v>
      </c>
      <c r="AC1142">
        <v>1.1770803914506378E-4</v>
      </c>
      <c r="AD1142">
        <v>0.48161589062349974</v>
      </c>
      <c r="AE1142">
        <v>0.487219511233424</v>
      </c>
    </row>
    <row r="1143" spans="23:31" x14ac:dyDescent="0.25">
      <c r="W1143">
        <v>76.5</v>
      </c>
      <c r="X1143">
        <v>73.392895701203571</v>
      </c>
      <c r="Y1143">
        <v>3.107104298796429</v>
      </c>
      <c r="Z1143">
        <v>3.1114435449645441</v>
      </c>
      <c r="AA1143">
        <v>1.3946086777451207E-3</v>
      </c>
      <c r="AB1143">
        <v>0.84366435148344343</v>
      </c>
      <c r="AC1143">
        <v>9.0366022894174304E-5</v>
      </c>
      <c r="AD1143">
        <v>0.48161589062349974</v>
      </c>
      <c r="AE1143">
        <v>0.48846996758613953</v>
      </c>
    </row>
    <row r="1144" spans="23:31" x14ac:dyDescent="0.25">
      <c r="W1144">
        <v>76.400000000000006</v>
      </c>
      <c r="X1144">
        <v>72.990522962594838</v>
      </c>
      <c r="Y1144">
        <v>3.4094770374051677</v>
      </c>
      <c r="Z1144">
        <v>3.414376519334823</v>
      </c>
      <c r="AA1144">
        <v>1.4349565438693942E-3</v>
      </c>
      <c r="AB1144">
        <v>0.92578557693471886</v>
      </c>
      <c r="AC1144">
        <v>1.1196712483270305E-4</v>
      </c>
      <c r="AD1144">
        <v>0.48161589062349974</v>
      </c>
      <c r="AE1144">
        <v>0.48920950170377309</v>
      </c>
    </row>
    <row r="1145" spans="23:31" x14ac:dyDescent="0.25">
      <c r="W1145">
        <v>76.2</v>
      </c>
      <c r="X1145">
        <v>73.404876391201086</v>
      </c>
      <c r="Y1145">
        <v>2.7951236087989173</v>
      </c>
      <c r="Z1145">
        <v>2.7985694586052148</v>
      </c>
      <c r="AA1145">
        <v>1.2312897204348355E-3</v>
      </c>
      <c r="AB1145">
        <v>0.75889095109676086</v>
      </c>
      <c r="AC1145">
        <v>6.454481928296719E-5</v>
      </c>
      <c r="AD1145">
        <v>0.5039283835636299</v>
      </c>
      <c r="AE1145">
        <v>0.49042316625375559</v>
      </c>
    </row>
    <row r="1146" spans="23:31" x14ac:dyDescent="0.25">
      <c r="W1146">
        <v>75.8</v>
      </c>
      <c r="X1146">
        <v>71.821161237078201</v>
      </c>
      <c r="Y1146">
        <v>3.9788387629217965</v>
      </c>
      <c r="Z1146">
        <v>3.9984772690145292</v>
      </c>
      <c r="AA1146">
        <v>4.9114962450608184E-3</v>
      </c>
      <c r="AB1146">
        <v>1.082271708820953</v>
      </c>
      <c r="AC1146">
        <v>5.2557177505322046E-4</v>
      </c>
      <c r="AD1146">
        <v>0.5039283835636299</v>
      </c>
      <c r="AE1146">
        <v>0.49239866696726448</v>
      </c>
    </row>
    <row r="1147" spans="23:31" x14ac:dyDescent="0.25">
      <c r="W1147">
        <v>75.8</v>
      </c>
      <c r="X1147">
        <v>73.369231025529814</v>
      </c>
      <c r="Y1147">
        <v>2.4307689744701833</v>
      </c>
      <c r="Z1147">
        <v>2.4359175604558061</v>
      </c>
      <c r="AA1147">
        <v>2.1136125742556235E-3</v>
      </c>
      <c r="AB1147">
        <v>0.6602584308220264</v>
      </c>
      <c r="AC1147">
        <v>8.394203843747078E-5</v>
      </c>
      <c r="AD1147">
        <v>0.5039283835636299</v>
      </c>
      <c r="AE1147">
        <v>0.49394390095480256</v>
      </c>
    </row>
    <row r="1148" spans="23:31" x14ac:dyDescent="0.25">
      <c r="W1148">
        <v>75.5</v>
      </c>
      <c r="X1148">
        <v>73.046953457360047</v>
      </c>
      <c r="Y1148">
        <v>2.453046542639953</v>
      </c>
      <c r="Z1148">
        <v>2.4570417081634304</v>
      </c>
      <c r="AA1148">
        <v>1.6260063922436396E-3</v>
      </c>
      <c r="AB1148">
        <v>0.66614684990235729</v>
      </c>
      <c r="AC1148">
        <v>6.570164764912625E-5</v>
      </c>
      <c r="AD1148">
        <v>0.5039283835636299</v>
      </c>
      <c r="AE1148">
        <v>0.4949776957153888</v>
      </c>
    </row>
    <row r="1149" spans="23:31" x14ac:dyDescent="0.25">
      <c r="W1149">
        <v>75.7</v>
      </c>
      <c r="X1149">
        <v>72.855397476499235</v>
      </c>
      <c r="Y1149">
        <v>2.8446025235007681</v>
      </c>
      <c r="Z1149">
        <v>2.8503620675775636</v>
      </c>
      <c r="AA1149">
        <v>2.0206359543956656E-3</v>
      </c>
      <c r="AB1149">
        <v>0.77263011265238901</v>
      </c>
      <c r="AC1149">
        <v>1.0987960535279913E-4</v>
      </c>
      <c r="AD1149">
        <v>0.5039283835636299</v>
      </c>
      <c r="AE1149">
        <v>0.49556413230868313</v>
      </c>
    </row>
    <row r="1150" spans="23:31" x14ac:dyDescent="0.25">
      <c r="W1150">
        <v>75.5</v>
      </c>
      <c r="X1150">
        <v>72.592243502666889</v>
      </c>
      <c r="Y1150">
        <v>2.9077564973331107</v>
      </c>
      <c r="Z1150">
        <v>2.9130766239082959</v>
      </c>
      <c r="AA1150">
        <v>1.8262913277075116E-3</v>
      </c>
      <c r="AB1150">
        <v>0.78970664343577168</v>
      </c>
      <c r="AC1150">
        <v>1.0372962985084777E-4</v>
      </c>
      <c r="AD1150">
        <v>0.5039283835636299</v>
      </c>
      <c r="AE1150">
        <v>0.49654418463441236</v>
      </c>
    </row>
    <row r="1151" spans="23:31" x14ac:dyDescent="0.25">
      <c r="W1151">
        <v>62.7</v>
      </c>
      <c r="X1151">
        <v>64.923998364359534</v>
      </c>
      <c r="Y1151">
        <v>-2.2239983643595309</v>
      </c>
      <c r="Z1151">
        <v>-2.2311479890997532</v>
      </c>
      <c r="AA1151">
        <v>3.2044601143206043E-3</v>
      </c>
      <c r="AB1151">
        <v>-0.60442475133491758</v>
      </c>
      <c r="AC1151">
        <v>1.0676787033084502E-4</v>
      </c>
      <c r="AD1151">
        <v>0.5039283835636299</v>
      </c>
      <c r="AE1151">
        <v>0.4969780300502798</v>
      </c>
    </row>
    <row r="1152" spans="23:31" x14ac:dyDescent="0.25">
      <c r="W1152">
        <v>62.4</v>
      </c>
      <c r="X1152">
        <v>64.829310769111871</v>
      </c>
      <c r="Y1152">
        <v>-2.429310769111872</v>
      </c>
      <c r="Z1152">
        <v>-2.4366059985298349</v>
      </c>
      <c r="AA1152">
        <v>2.9940127465684935E-3</v>
      </c>
      <c r="AB1152">
        <v>-0.66015362476597572</v>
      </c>
      <c r="AC1152">
        <v>1.1897431634834901E-4</v>
      </c>
      <c r="AD1152">
        <v>0.5039283835636299</v>
      </c>
      <c r="AE1152">
        <v>0.49862999099122018</v>
      </c>
    </row>
    <row r="1153" spans="23:31" x14ac:dyDescent="0.25">
      <c r="W1153">
        <v>62.2</v>
      </c>
      <c r="X1153">
        <v>64.390335817909389</v>
      </c>
      <c r="Y1153">
        <v>-2.1903358179093857</v>
      </c>
      <c r="Z1153">
        <v>-2.1969258480025928</v>
      </c>
      <c r="AA1153">
        <v>2.9996597742271095E-3</v>
      </c>
      <c r="AB1153">
        <v>-0.59521500624505896</v>
      </c>
      <c r="AC1153">
        <v>9.6901779231361253E-5</v>
      </c>
      <c r="AD1153">
        <v>0.5039283835636299</v>
      </c>
      <c r="AE1153">
        <v>0.49913927630291294</v>
      </c>
    </row>
    <row r="1154" spans="23:31" x14ac:dyDescent="0.25">
      <c r="W1154">
        <v>62</v>
      </c>
      <c r="X1154">
        <v>64.170977952532283</v>
      </c>
      <c r="Y1154">
        <v>-2.170977952532283</v>
      </c>
      <c r="Z1154">
        <v>-2.1767770835799922</v>
      </c>
      <c r="AA1154">
        <v>2.6640904534777276E-3</v>
      </c>
      <c r="AB1154">
        <v>-0.58985532559043918</v>
      </c>
      <c r="AC1154">
        <v>8.4490102026499769E-5</v>
      </c>
      <c r="AD1154">
        <v>0.5039283835636299</v>
      </c>
      <c r="AE1154">
        <v>0.49978856181500025</v>
      </c>
    </row>
    <row r="1155" spans="23:31" x14ac:dyDescent="0.25">
      <c r="W1155">
        <v>61.8</v>
      </c>
      <c r="X1155">
        <v>63.550519380685913</v>
      </c>
      <c r="Y1155">
        <v>-1.7505193806859154</v>
      </c>
      <c r="Z1155">
        <v>-1.7557237868531246</v>
      </c>
      <c r="AA1155">
        <v>2.9642511004190708E-3</v>
      </c>
      <c r="AB1155">
        <v>-0.47568819986626737</v>
      </c>
      <c r="AC1155">
        <v>6.1158430381668522E-5</v>
      </c>
      <c r="AD1155">
        <v>0.5039283835636299</v>
      </c>
      <c r="AE1155">
        <v>0.50075961159356241</v>
      </c>
    </row>
    <row r="1156" spans="23:31" x14ac:dyDescent="0.25">
      <c r="W1156">
        <v>61.6</v>
      </c>
      <c r="X1156">
        <v>63.175670621025326</v>
      </c>
      <c r="Y1156">
        <v>-1.5756706210253242</v>
      </c>
      <c r="Z1156">
        <v>-1.5803088081067358</v>
      </c>
      <c r="AA1156">
        <v>2.9349878059374305E-3</v>
      </c>
      <c r="AB1156">
        <v>-0.42816830843250114</v>
      </c>
      <c r="AC1156">
        <v>4.9059054909843496E-5</v>
      </c>
      <c r="AD1156">
        <v>0.5039283835636299</v>
      </c>
      <c r="AE1156">
        <v>0.5048830345187495</v>
      </c>
    </row>
    <row r="1157" spans="23:31" x14ac:dyDescent="0.25">
      <c r="W1157">
        <v>61.4</v>
      </c>
      <c r="X1157">
        <v>67.229130982660308</v>
      </c>
      <c r="Y1157">
        <v>-5.8291309826603097</v>
      </c>
      <c r="Z1157">
        <v>-5.8558103375715618</v>
      </c>
      <c r="AA1157">
        <v>4.5560483303341871E-3</v>
      </c>
      <c r="AB1157">
        <v>-1.5852809036500857</v>
      </c>
      <c r="AC1157">
        <v>1.0456618930124956E-3</v>
      </c>
      <c r="AD1157">
        <v>0.5039283835636299</v>
      </c>
      <c r="AE1157">
        <v>0.5049060094613379</v>
      </c>
    </row>
    <row r="1158" spans="23:31" x14ac:dyDescent="0.25">
      <c r="W1158">
        <v>61.1</v>
      </c>
      <c r="X1158">
        <v>62.138905783267759</v>
      </c>
      <c r="Y1158">
        <v>-1.038905783267758</v>
      </c>
      <c r="Z1158">
        <v>-1.0422727272275267</v>
      </c>
      <c r="AA1158">
        <v>3.2303867038022804E-3</v>
      </c>
      <c r="AB1158">
        <v>-0.2823511681839686</v>
      </c>
      <c r="AC1158">
        <v>2.3488009653697186E-5</v>
      </c>
      <c r="AD1158">
        <v>0.5039283835636299</v>
      </c>
      <c r="AE1158">
        <v>0.50722861717702294</v>
      </c>
    </row>
    <row r="1159" spans="23:31" x14ac:dyDescent="0.25">
      <c r="W1159">
        <v>68</v>
      </c>
      <c r="X1159">
        <v>61.704302265108062</v>
      </c>
      <c r="Y1159">
        <v>6.2956977348919381</v>
      </c>
      <c r="Z1159">
        <v>6.3175427378000322</v>
      </c>
      <c r="AA1159">
        <v>3.4578322323623669E-3</v>
      </c>
      <c r="AB1159">
        <v>1.7112239452228453</v>
      </c>
      <c r="AC1159">
        <v>9.2369639856138247E-4</v>
      </c>
      <c r="AD1159">
        <v>0.52824151828033117</v>
      </c>
      <c r="AE1159">
        <v>0.50930395122321981</v>
      </c>
    </row>
    <row r="1160" spans="23:31" x14ac:dyDescent="0.25">
      <c r="W1160">
        <v>64</v>
      </c>
      <c r="X1160">
        <v>66.0227129157186</v>
      </c>
      <c r="Y1160">
        <v>-2.0227129157185999</v>
      </c>
      <c r="Z1160">
        <v>-2.0332216912943863</v>
      </c>
      <c r="AA1160">
        <v>5.1685340662933612E-3</v>
      </c>
      <c r="AB1160">
        <v>-0.55026299922804423</v>
      </c>
      <c r="AC1160">
        <v>1.4300980240559142E-4</v>
      </c>
      <c r="AD1160">
        <v>0.52824151828033117</v>
      </c>
      <c r="AE1160">
        <v>0.5101822557739758</v>
      </c>
    </row>
    <row r="1161" spans="23:31" x14ac:dyDescent="0.25">
      <c r="W1161">
        <v>59.9</v>
      </c>
      <c r="X1161">
        <v>59.281369202545086</v>
      </c>
      <c r="Y1161">
        <v>0.61863079745491234</v>
      </c>
      <c r="Z1161">
        <v>0.62223780633397041</v>
      </c>
      <c r="AA1161">
        <v>5.7968333687550364E-3</v>
      </c>
      <c r="AB1161">
        <v>0.16834676907533375</v>
      </c>
      <c r="AC1161">
        <v>1.5022166146515584E-5</v>
      </c>
      <c r="AD1161">
        <v>0.52824151828033117</v>
      </c>
      <c r="AE1161">
        <v>0.51140438872504035</v>
      </c>
    </row>
    <row r="1162" spans="23:31" x14ac:dyDescent="0.25">
      <c r="W1162">
        <v>59.6</v>
      </c>
      <c r="X1162">
        <v>60.099871123976939</v>
      </c>
      <c r="Y1162">
        <v>-0.49987112397693778</v>
      </c>
      <c r="Z1162">
        <v>-0.50233817475280773</v>
      </c>
      <c r="AA1162">
        <v>4.9111353662945586E-3</v>
      </c>
      <c r="AB1162">
        <v>-0.13596838416258444</v>
      </c>
      <c r="AC1162">
        <v>8.294748569160516E-6</v>
      </c>
      <c r="AD1162">
        <v>0.52824151828033117</v>
      </c>
      <c r="AE1162">
        <v>0.51672793641814063</v>
      </c>
    </row>
    <row r="1163" spans="23:31" x14ac:dyDescent="0.25">
      <c r="W1163">
        <v>59.3</v>
      </c>
      <c r="X1163">
        <v>59.540163673651392</v>
      </c>
      <c r="Y1163">
        <v>-0.24016367365139502</v>
      </c>
      <c r="Z1163">
        <v>-0.24160674679943384</v>
      </c>
      <c r="AA1163">
        <v>5.972818090369994E-3</v>
      </c>
      <c r="AB1163">
        <v>-6.5361048128634386E-2</v>
      </c>
      <c r="AC1163">
        <v>2.3335996888232984E-6</v>
      </c>
      <c r="AD1163">
        <v>0.52824151828033117</v>
      </c>
      <c r="AE1163">
        <v>0.5190829909321637</v>
      </c>
    </row>
    <row r="1164" spans="23:31" x14ac:dyDescent="0.25">
      <c r="W1164">
        <v>59.1</v>
      </c>
      <c r="X1164">
        <v>58.930560969964361</v>
      </c>
      <c r="Y1164">
        <v>0.16943903003564031</v>
      </c>
      <c r="Z1164">
        <v>0.17047813667377909</v>
      </c>
      <c r="AA1164">
        <v>6.0952486835926124E-3</v>
      </c>
      <c r="AB1164">
        <v>4.6116027903048168E-2</v>
      </c>
      <c r="AC1164">
        <v>1.1856534355015336E-6</v>
      </c>
      <c r="AD1164">
        <v>0.52824151828033117</v>
      </c>
      <c r="AE1164">
        <v>0.52024224133253416</v>
      </c>
    </row>
    <row r="1165" spans="23:31" x14ac:dyDescent="0.25">
      <c r="W1165">
        <v>58.9</v>
      </c>
      <c r="X1165">
        <v>58.386921018831828</v>
      </c>
      <c r="Y1165">
        <v>0.51307898116817086</v>
      </c>
      <c r="Z1165">
        <v>0.51634460431151297</v>
      </c>
      <c r="AA1165">
        <v>6.3245032795357535E-3</v>
      </c>
      <c r="AB1165">
        <v>0.13966023015822349</v>
      </c>
      <c r="AC1165">
        <v>1.1285860120066589E-5</v>
      </c>
      <c r="AD1165">
        <v>0.52824151828033117</v>
      </c>
      <c r="AE1165">
        <v>0.52262994368535598</v>
      </c>
    </row>
    <row r="1166" spans="23:31" x14ac:dyDescent="0.25">
      <c r="W1166">
        <v>73.900000000000006</v>
      </c>
      <c r="X1166">
        <v>72.43237690969076</v>
      </c>
      <c r="Y1166">
        <v>1.467623090309246</v>
      </c>
      <c r="Z1166">
        <v>1.4742392100980339</v>
      </c>
      <c r="AA1166">
        <v>4.487819713025182E-3</v>
      </c>
      <c r="AB1166">
        <v>0.3991186913448555</v>
      </c>
      <c r="AC1166">
        <v>6.5283025385628039E-5</v>
      </c>
      <c r="AD1166">
        <v>0.54051528578164909</v>
      </c>
      <c r="AE1166">
        <v>0.52473931410491292</v>
      </c>
    </row>
    <row r="1167" spans="23:31" x14ac:dyDescent="0.25">
      <c r="W1167">
        <v>73.8</v>
      </c>
      <c r="X1167">
        <v>71.216468039370923</v>
      </c>
      <c r="Y1167">
        <v>2.5835319606290739</v>
      </c>
      <c r="Z1167">
        <v>2.5927588265575849</v>
      </c>
      <c r="AA1167">
        <v>3.558705820998554E-3</v>
      </c>
      <c r="AB1167">
        <v>0.70226140331119458</v>
      </c>
      <c r="AC1167">
        <v>1.6011989123380465E-4</v>
      </c>
      <c r="AD1167">
        <v>0.54051528578164909</v>
      </c>
      <c r="AE1167">
        <v>0.52772338241326089</v>
      </c>
    </row>
    <row r="1168" spans="23:31" x14ac:dyDescent="0.25">
      <c r="W1168">
        <v>73.599999999999994</v>
      </c>
      <c r="X1168">
        <v>71.153397551313631</v>
      </c>
      <c r="Y1168">
        <v>2.4466024486863631</v>
      </c>
      <c r="Z1168">
        <v>2.4558606527647697</v>
      </c>
      <c r="AA1168">
        <v>3.7698409590059432E-3</v>
      </c>
      <c r="AB1168">
        <v>0.66511138753323773</v>
      </c>
      <c r="AC1168">
        <v>1.5218064679351572E-4</v>
      </c>
      <c r="AD1168">
        <v>0.54051528578164909</v>
      </c>
      <c r="AE1168">
        <v>0.52984263515029506</v>
      </c>
    </row>
    <row r="1169" spans="23:31" x14ac:dyDescent="0.25">
      <c r="W1169">
        <v>73.400000000000006</v>
      </c>
      <c r="X1169">
        <v>74.077629411055753</v>
      </c>
      <c r="Y1169">
        <v>-0.67762941105574725</v>
      </c>
      <c r="Z1169">
        <v>-0.67998899153742798</v>
      </c>
      <c r="AA1169">
        <v>3.4700274725686315E-3</v>
      </c>
      <c r="AB1169">
        <v>-0.1841865378971817</v>
      </c>
      <c r="AC1169">
        <v>1.0739044249006669E-5</v>
      </c>
      <c r="AD1169">
        <v>0.54051528578164909</v>
      </c>
      <c r="AE1169">
        <v>0.53183124761348721</v>
      </c>
    </row>
    <row r="1170" spans="23:31" x14ac:dyDescent="0.25">
      <c r="W1170">
        <v>73.2</v>
      </c>
      <c r="X1170">
        <v>71.484286804709853</v>
      </c>
      <c r="Y1170">
        <v>1.7157131952901494</v>
      </c>
      <c r="Z1170">
        <v>1.7193511811965863</v>
      </c>
      <c r="AA1170">
        <v>2.1159062477878526E-3</v>
      </c>
      <c r="AB1170">
        <v>0.46603170266999894</v>
      </c>
      <c r="AC1170">
        <v>4.1865333822954529E-5</v>
      </c>
      <c r="AD1170">
        <v>0.54051528578164909</v>
      </c>
      <c r="AE1170">
        <v>0.53252928468364835</v>
      </c>
    </row>
    <row r="1171" spans="23:31" x14ac:dyDescent="0.25">
      <c r="W1171">
        <v>73</v>
      </c>
      <c r="X1171">
        <v>70.903600253153556</v>
      </c>
      <c r="Y1171">
        <v>2.0963997468464441</v>
      </c>
      <c r="Z1171">
        <v>2.1013348144532387</v>
      </c>
      <c r="AA1171">
        <v>2.3485394011709096E-3</v>
      </c>
      <c r="AB1171">
        <v>0.56950231952808605</v>
      </c>
      <c r="AC1171">
        <v>6.9409244512386533E-5</v>
      </c>
      <c r="AD1171">
        <v>0.54051528578164909</v>
      </c>
      <c r="AE1171">
        <v>0.53292479210336408</v>
      </c>
    </row>
    <row r="1172" spans="23:31" x14ac:dyDescent="0.25">
      <c r="W1172">
        <v>72.7</v>
      </c>
      <c r="X1172">
        <v>70.469462073921875</v>
      </c>
      <c r="Y1172">
        <v>2.230537926078128</v>
      </c>
      <c r="Z1172">
        <v>2.234111037237426</v>
      </c>
      <c r="AA1172">
        <v>1.5993435866620172E-3</v>
      </c>
      <c r="AB1172">
        <v>0.60571454584220219</v>
      </c>
      <c r="AC1172">
        <v>5.3429392511639706E-5</v>
      </c>
      <c r="AD1172">
        <v>0.54051528578164909</v>
      </c>
      <c r="AE1172">
        <v>0.53364993758253165</v>
      </c>
    </row>
    <row r="1173" spans="23:31" x14ac:dyDescent="0.25">
      <c r="W1173">
        <v>72.5</v>
      </c>
      <c r="X1173">
        <v>70.671051110612098</v>
      </c>
      <c r="Y1173">
        <v>1.8289488893879025</v>
      </c>
      <c r="Z1173">
        <v>1.8310179029863463</v>
      </c>
      <c r="AA1173">
        <v>1.1299799936778706E-3</v>
      </c>
      <c r="AB1173">
        <v>0.49654418463441236</v>
      </c>
      <c r="AC1173">
        <v>2.535624215191021E-5</v>
      </c>
      <c r="AD1173">
        <v>0.54051528578164909</v>
      </c>
      <c r="AE1173">
        <v>0.53522576110553843</v>
      </c>
    </row>
    <row r="1174" spans="23:31" x14ac:dyDescent="0.25">
      <c r="W1174">
        <v>72.3</v>
      </c>
      <c r="X1174">
        <v>70.578410302675806</v>
      </c>
      <c r="Y1174">
        <v>1.7215896973241911</v>
      </c>
      <c r="Z1174">
        <v>1.7237850028132158</v>
      </c>
      <c r="AA1174">
        <v>1.2735378747578414E-3</v>
      </c>
      <c r="AB1174">
        <v>0.46743066108799169</v>
      </c>
      <c r="AC1174">
        <v>2.5328356840370785E-5</v>
      </c>
      <c r="AD1174">
        <v>0.54051528578164909</v>
      </c>
      <c r="AE1174">
        <v>0.5366265777760868</v>
      </c>
    </row>
    <row r="1175" spans="23:31" x14ac:dyDescent="0.25">
      <c r="W1175">
        <v>72.099999999999994</v>
      </c>
      <c r="X1175">
        <v>70.579832346129592</v>
      </c>
      <c r="Y1175">
        <v>1.5201676538704021</v>
      </c>
      <c r="Z1175">
        <v>1.5222279574002329</v>
      </c>
      <c r="AA1175">
        <v>1.3534789712766452E-3</v>
      </c>
      <c r="AB1175">
        <v>0.41275886608370899</v>
      </c>
      <c r="AC1175">
        <v>2.0991325134485869E-5</v>
      </c>
      <c r="AD1175">
        <v>0.54051528578164909</v>
      </c>
      <c r="AE1175">
        <v>0.53991868684536426</v>
      </c>
    </row>
    <row r="1176" spans="23:31" x14ac:dyDescent="0.25">
      <c r="W1176">
        <v>71.900000000000006</v>
      </c>
      <c r="X1176">
        <v>70.121044187318489</v>
      </c>
      <c r="Y1176">
        <v>1.7789558126815166</v>
      </c>
      <c r="Z1176">
        <v>1.7810918045568087</v>
      </c>
      <c r="AA1176">
        <v>1.1992598415341343E-3</v>
      </c>
      <c r="AB1176">
        <v>0.48298823621160675</v>
      </c>
      <c r="AC1176">
        <v>2.5463309958260034E-5</v>
      </c>
      <c r="AD1176">
        <v>0.54051528578164909</v>
      </c>
      <c r="AE1176">
        <v>0.54097781238823384</v>
      </c>
    </row>
    <row r="1177" spans="23:31" x14ac:dyDescent="0.25">
      <c r="W1177">
        <v>71.7</v>
      </c>
      <c r="X1177">
        <v>70.609683910706082</v>
      </c>
      <c r="Y1177">
        <v>1.0903160892939212</v>
      </c>
      <c r="Z1177">
        <v>1.0915661711205615</v>
      </c>
      <c r="AA1177">
        <v>1.1452185490063937E-3</v>
      </c>
      <c r="AB1177">
        <v>0.29601387245365529</v>
      </c>
      <c r="AC1177">
        <v>9.1330842601364849E-6</v>
      </c>
      <c r="AD1177">
        <v>0.54051528578164909</v>
      </c>
      <c r="AE1177">
        <v>0.544195335600412</v>
      </c>
    </row>
    <row r="1178" spans="23:31" x14ac:dyDescent="0.25">
      <c r="W1178">
        <v>75.3</v>
      </c>
      <c r="X1178">
        <v>74.481230137602736</v>
      </c>
      <c r="Y1178">
        <v>0.81876986239726079</v>
      </c>
      <c r="Z1178">
        <v>0.82150358051322314</v>
      </c>
      <c r="AA1178">
        <v>3.3277007925502618E-3</v>
      </c>
      <c r="AB1178">
        <v>0.22253405139578747</v>
      </c>
      <c r="AC1178">
        <v>1.5031147839022842E-5</v>
      </c>
      <c r="AD1178">
        <v>0.54051528578164909</v>
      </c>
      <c r="AE1178">
        <v>0.54431063162033655</v>
      </c>
    </row>
    <row r="1179" spans="23:31" x14ac:dyDescent="0.25">
      <c r="W1179">
        <v>75.3</v>
      </c>
      <c r="X1179">
        <v>73.878746469014615</v>
      </c>
      <c r="Y1179">
        <v>1.421253530985382</v>
      </c>
      <c r="Z1179">
        <v>1.4229392505848182</v>
      </c>
      <c r="AA1179">
        <v>1.1846743272753456E-3</v>
      </c>
      <c r="AB1179">
        <v>0.38586890083884934</v>
      </c>
      <c r="AC1179">
        <v>1.6054642910013108E-5</v>
      </c>
      <c r="AD1179">
        <v>0.54051528578164909</v>
      </c>
      <c r="AE1179">
        <v>0.54475547767257815</v>
      </c>
    </row>
    <row r="1180" spans="23:31" x14ac:dyDescent="0.25">
      <c r="W1180">
        <v>74.900000000000006</v>
      </c>
      <c r="X1180">
        <v>73.862768758113759</v>
      </c>
      <c r="Y1180">
        <v>1.0372312418862464</v>
      </c>
      <c r="Z1180">
        <v>1.0385416171040163</v>
      </c>
      <c r="AA1180">
        <v>1.2617455056119957E-3</v>
      </c>
      <c r="AB1180">
        <v>0.28161810189776931</v>
      </c>
      <c r="AC1180">
        <v>9.1085349781876497E-6</v>
      </c>
      <c r="AD1180">
        <v>0.56531175535073552</v>
      </c>
      <c r="AE1180">
        <v>0.54532084302031125</v>
      </c>
    </row>
    <row r="1181" spans="23:31" x14ac:dyDescent="0.25">
      <c r="W1181">
        <v>74.5</v>
      </c>
      <c r="X1181">
        <v>73.542878498175142</v>
      </c>
      <c r="Y1181">
        <v>0.957121501824858</v>
      </c>
      <c r="Z1181">
        <v>0.9583265450572469</v>
      </c>
      <c r="AA1181">
        <v>1.2574453234102992E-3</v>
      </c>
      <c r="AB1181">
        <v>0.25986698960933147</v>
      </c>
      <c r="AC1181">
        <v>7.7293878640982051E-6</v>
      </c>
      <c r="AD1181">
        <v>0.56531175535073552</v>
      </c>
      <c r="AE1181">
        <v>0.54590652179185006</v>
      </c>
    </row>
    <row r="1182" spans="23:31" x14ac:dyDescent="0.25">
      <c r="W1182">
        <v>73.7</v>
      </c>
      <c r="X1182">
        <v>75.207577306819161</v>
      </c>
      <c r="Y1182">
        <v>-1.507577306819158</v>
      </c>
      <c r="Z1182">
        <v>-1.5109091163522805</v>
      </c>
      <c r="AA1182">
        <v>2.2051687272672607E-3</v>
      </c>
      <c r="AB1182">
        <v>-0.40951497411889892</v>
      </c>
      <c r="AC1182">
        <v>3.3693603664543446E-5</v>
      </c>
      <c r="AD1182">
        <v>0.56531175535073552</v>
      </c>
      <c r="AE1182">
        <v>0.54756153022030685</v>
      </c>
    </row>
    <row r="1183" spans="23:31" x14ac:dyDescent="0.25">
      <c r="W1183">
        <v>73.8</v>
      </c>
      <c r="X1183">
        <v>75.349954525309741</v>
      </c>
      <c r="Y1183">
        <v>-1.5499545253097438</v>
      </c>
      <c r="Z1183">
        <v>-1.5530653381684516</v>
      </c>
      <c r="AA1183">
        <v>2.0030148006380199E-3</v>
      </c>
      <c r="AB1183">
        <v>-0.42098358464775093</v>
      </c>
      <c r="AC1183">
        <v>3.23364669397612E-5</v>
      </c>
      <c r="AD1183">
        <v>0.56531175535073552</v>
      </c>
      <c r="AE1183">
        <v>0.55337769623425836</v>
      </c>
    </row>
    <row r="1184" spans="23:31" x14ac:dyDescent="0.25">
      <c r="W1184">
        <v>73.900000000000006</v>
      </c>
      <c r="X1184">
        <v>70.926108217851578</v>
      </c>
      <c r="Y1184">
        <v>2.9738917821484279</v>
      </c>
      <c r="Z1184">
        <v>2.9871773720497288</v>
      </c>
      <c r="AA1184">
        <v>4.4475396826494382E-3</v>
      </c>
      <c r="AB1184">
        <v>0.8087306558398295</v>
      </c>
      <c r="AC1184">
        <v>2.6562613815458801E-4</v>
      </c>
      <c r="AD1184">
        <v>0.56531175535073552</v>
      </c>
      <c r="AE1184">
        <v>0.55541566338701276</v>
      </c>
    </row>
    <row r="1185" spans="23:31" x14ac:dyDescent="0.25">
      <c r="W1185">
        <v>74</v>
      </c>
      <c r="X1185">
        <v>71.20231237141428</v>
      </c>
      <c r="Y1185">
        <v>2.7976876285857202</v>
      </c>
      <c r="Z1185">
        <v>2.8102184261925061</v>
      </c>
      <c r="AA1185">
        <v>4.4590119721655804E-3</v>
      </c>
      <c r="AB1185">
        <v>0.76081745840171155</v>
      </c>
      <c r="AC1185">
        <v>2.3569357694875102E-4</v>
      </c>
      <c r="AD1185">
        <v>0.56531175535073552</v>
      </c>
      <c r="AE1185">
        <v>0.55589263140530376</v>
      </c>
    </row>
    <row r="1186" spans="23:31" x14ac:dyDescent="0.25">
      <c r="W1186">
        <v>74.2</v>
      </c>
      <c r="X1186">
        <v>72.586536027268195</v>
      </c>
      <c r="Y1186">
        <v>1.6134639727318074</v>
      </c>
      <c r="Z1186">
        <v>1.615663749407517</v>
      </c>
      <c r="AA1186">
        <v>1.3615312446777095E-3</v>
      </c>
      <c r="AB1186">
        <v>0.43809262951942812</v>
      </c>
      <c r="AC1186">
        <v>2.378803279908305E-5</v>
      </c>
      <c r="AD1186">
        <v>0.56531175535073552</v>
      </c>
      <c r="AE1186">
        <v>0.55879547020192533</v>
      </c>
    </row>
    <row r="1187" spans="23:31" x14ac:dyDescent="0.25">
      <c r="W1187">
        <v>72.8</v>
      </c>
      <c r="X1187">
        <v>71.906673803373764</v>
      </c>
      <c r="Y1187">
        <v>0.89332619662623358</v>
      </c>
      <c r="Z1187">
        <v>0.89445965455809073</v>
      </c>
      <c r="AA1187">
        <v>1.2671984992018459E-3</v>
      </c>
      <c r="AB1187">
        <v>0.24254718186535823</v>
      </c>
      <c r="AC1187">
        <v>6.785707213204444E-6</v>
      </c>
      <c r="AD1187">
        <v>0.56531175535073552</v>
      </c>
      <c r="AE1187">
        <v>0.56026791078296134</v>
      </c>
    </row>
    <row r="1188" spans="23:31" x14ac:dyDescent="0.25">
      <c r="W1188">
        <v>72.2</v>
      </c>
      <c r="X1188">
        <v>71.738343094509588</v>
      </c>
      <c r="Y1188">
        <v>0.46165690549041472</v>
      </c>
      <c r="Z1188">
        <v>0.46219614918894081</v>
      </c>
      <c r="AA1188">
        <v>1.1666988127691711E-3</v>
      </c>
      <c r="AB1188">
        <v>0.12533825658460176</v>
      </c>
      <c r="AC1188">
        <v>1.6681701912012196E-6</v>
      </c>
      <c r="AD1188">
        <v>0.56531175535073552</v>
      </c>
      <c r="AE1188">
        <v>0.56044758934505212</v>
      </c>
    </row>
    <row r="1189" spans="23:31" x14ac:dyDescent="0.25">
      <c r="W1189">
        <v>72.099999999999994</v>
      </c>
      <c r="X1189">
        <v>72.169335065571573</v>
      </c>
      <c r="Y1189">
        <v>-6.933506557157898E-2</v>
      </c>
      <c r="Z1189">
        <v>-6.9431904926673838E-2</v>
      </c>
      <c r="AA1189">
        <v>1.3947385599369592E-3</v>
      </c>
      <c r="AB1189">
        <v>-1.8826380227157494E-2</v>
      </c>
      <c r="AC1189">
        <v>4.5002840251050829E-8</v>
      </c>
      <c r="AD1189">
        <v>0.56531175535073552</v>
      </c>
      <c r="AE1189">
        <v>0.56561618843039185</v>
      </c>
    </row>
    <row r="1190" spans="23:31" x14ac:dyDescent="0.25">
      <c r="W1190">
        <v>68.400000000000006</v>
      </c>
      <c r="X1190">
        <v>68.073977299440415</v>
      </c>
      <c r="Y1190">
        <v>0.32602270055959082</v>
      </c>
      <c r="Z1190">
        <v>0.32674821575915303</v>
      </c>
      <c r="AA1190">
        <v>2.2204105931312433E-3</v>
      </c>
      <c r="AB1190">
        <v>8.8560763629176503E-2</v>
      </c>
      <c r="AC1190">
        <v>1.5866776160354338E-6</v>
      </c>
      <c r="AD1190">
        <v>0.56531175535073552</v>
      </c>
      <c r="AE1190">
        <v>0.56864253641570972</v>
      </c>
    </row>
    <row r="1191" spans="23:31" x14ac:dyDescent="0.25">
      <c r="W1191">
        <v>68.099999999999994</v>
      </c>
      <c r="X1191">
        <v>68.36314567049412</v>
      </c>
      <c r="Y1191">
        <v>-0.26314567049412574</v>
      </c>
      <c r="Z1191">
        <v>-0.26362175303032132</v>
      </c>
      <c r="AA1191">
        <v>1.8059303935300853E-3</v>
      </c>
      <c r="AB1191">
        <v>-7.1466013385758101E-2</v>
      </c>
      <c r="AC1191">
        <v>8.4002546056591662E-7</v>
      </c>
      <c r="AD1191">
        <v>0.56531175535073552</v>
      </c>
      <c r="AE1191">
        <v>0.56950231952808605</v>
      </c>
    </row>
    <row r="1192" spans="23:31" x14ac:dyDescent="0.25">
      <c r="W1192">
        <v>68.099999999999994</v>
      </c>
      <c r="X1192">
        <v>68.24703704538264</v>
      </c>
      <c r="Y1192">
        <v>-0.14703704538264617</v>
      </c>
      <c r="Z1192">
        <v>-0.14730391596887671</v>
      </c>
      <c r="AA1192">
        <v>1.8117005544378607E-3</v>
      </c>
      <c r="AB1192">
        <v>-3.9932945906462583E-2</v>
      </c>
      <c r="AC1192">
        <v>2.6311399995111131E-7</v>
      </c>
      <c r="AD1192">
        <v>0.56531175535073552</v>
      </c>
      <c r="AE1192">
        <v>0.56983566328763724</v>
      </c>
    </row>
    <row r="1193" spans="23:31" x14ac:dyDescent="0.25">
      <c r="W1193">
        <v>68</v>
      </c>
      <c r="X1193">
        <v>68.106323985791988</v>
      </c>
      <c r="Y1193">
        <v>-0.10632398579198821</v>
      </c>
      <c r="Z1193">
        <v>-0.10653012917467208</v>
      </c>
      <c r="AA1193">
        <v>1.9350711792794938E-3</v>
      </c>
      <c r="AB1193">
        <v>-2.8877704711549317E-2</v>
      </c>
      <c r="AC1193">
        <v>1.4698425206801778E-7</v>
      </c>
      <c r="AD1193">
        <v>0.56531175535073552</v>
      </c>
      <c r="AE1193">
        <v>0.57001760092921039</v>
      </c>
    </row>
    <row r="1194" spans="23:31" x14ac:dyDescent="0.25">
      <c r="W1194">
        <v>67.900000000000006</v>
      </c>
      <c r="X1194">
        <v>67.763897198378643</v>
      </c>
      <c r="Y1194">
        <v>0.13610280162136235</v>
      </c>
      <c r="Z1194">
        <v>0.13636532903980481</v>
      </c>
      <c r="AA1194">
        <v>1.9251771714579283E-3</v>
      </c>
      <c r="AB1194">
        <v>3.6965478724461737E-2</v>
      </c>
      <c r="AC1194">
        <v>2.3961146121487714E-7</v>
      </c>
      <c r="AD1194">
        <v>0.56531175535073552</v>
      </c>
      <c r="AE1194">
        <v>0.57219249915793136</v>
      </c>
    </row>
    <row r="1195" spans="23:31" x14ac:dyDescent="0.25">
      <c r="W1195">
        <v>68</v>
      </c>
      <c r="X1195">
        <v>68.186724002264242</v>
      </c>
      <c r="Y1195">
        <v>-0.18672400226424202</v>
      </c>
      <c r="Z1195">
        <v>-0.18706966888136378</v>
      </c>
      <c r="AA1195">
        <v>1.847796167024139E-3</v>
      </c>
      <c r="AB1195">
        <v>-5.0712215297379952E-2</v>
      </c>
      <c r="AC1195">
        <v>4.3280251109283175E-7</v>
      </c>
      <c r="AD1195">
        <v>0.56531175535073552</v>
      </c>
      <c r="AE1195">
        <v>0.57517830300207884</v>
      </c>
    </row>
    <row r="1196" spans="23:31" x14ac:dyDescent="0.25">
      <c r="W1196">
        <v>67.5</v>
      </c>
      <c r="X1196">
        <v>68.063514132114761</v>
      </c>
      <c r="Y1196">
        <v>-0.56351413211476142</v>
      </c>
      <c r="Z1196">
        <v>-0.56456552218999434</v>
      </c>
      <c r="AA1196">
        <v>1.8622994743783677E-3</v>
      </c>
      <c r="AB1196">
        <v>-0.15304544279872712</v>
      </c>
      <c r="AC1196">
        <v>3.9728958527781314E-6</v>
      </c>
      <c r="AD1196">
        <v>0.56531175535073552</v>
      </c>
      <c r="AE1196">
        <v>0.57877336763565912</v>
      </c>
    </row>
    <row r="1197" spans="23:31" x14ac:dyDescent="0.25">
      <c r="W1197">
        <v>67.5</v>
      </c>
      <c r="X1197">
        <v>67.76072373939779</v>
      </c>
      <c r="Y1197">
        <v>-0.2607237393977897</v>
      </c>
      <c r="Z1197">
        <v>-0.26123940128331924</v>
      </c>
      <c r="AA1197">
        <v>1.9739054790063153E-3</v>
      </c>
      <c r="AB1197">
        <v>-7.0814215465861655E-2</v>
      </c>
      <c r="AC1197">
        <v>9.0163895490796409E-7</v>
      </c>
      <c r="AD1197">
        <v>0.59589828697336056</v>
      </c>
      <c r="AE1197">
        <v>0.57920406944008107</v>
      </c>
    </row>
    <row r="1198" spans="23:31" x14ac:dyDescent="0.25">
      <c r="W1198">
        <v>67.3</v>
      </c>
      <c r="X1198">
        <v>67.099701118948715</v>
      </c>
      <c r="Y1198">
        <v>0.2002988810512818</v>
      </c>
      <c r="Z1198">
        <v>0.20110879517750391</v>
      </c>
      <c r="AA1198">
        <v>4.027243689192537E-3</v>
      </c>
      <c r="AB1198">
        <v>5.4458492314176113E-2</v>
      </c>
      <c r="AC1198">
        <v>1.0901819644037691E-6</v>
      </c>
      <c r="AD1198">
        <v>0.59589828697336056</v>
      </c>
      <c r="AE1198">
        <v>0.58275760860591963</v>
      </c>
    </row>
    <row r="1199" spans="23:31" x14ac:dyDescent="0.25">
      <c r="W1199">
        <v>67</v>
      </c>
      <c r="X1199">
        <v>67.052833631016753</v>
      </c>
      <c r="Y1199">
        <v>-5.2833631016753202E-2</v>
      </c>
      <c r="Z1199">
        <v>-5.3053961992105769E-2</v>
      </c>
      <c r="AA1199">
        <v>4.152959874857292E-3</v>
      </c>
      <c r="AB1199">
        <v>-1.4365639387807541E-2</v>
      </c>
      <c r="AC1199">
        <v>7.823882756887205E-8</v>
      </c>
      <c r="AD1199">
        <v>0.59589828697336056</v>
      </c>
      <c r="AE1199">
        <v>0.58319669771585037</v>
      </c>
    </row>
    <row r="1200" spans="23:31" x14ac:dyDescent="0.25">
      <c r="W1200">
        <v>67.3</v>
      </c>
      <c r="X1200">
        <v>67.604289687873347</v>
      </c>
      <c r="Y1200">
        <v>-0.30428968787335009</v>
      </c>
      <c r="Z1200">
        <v>-0.30502840973514367</v>
      </c>
      <c r="AA1200">
        <v>2.421813307263378E-3</v>
      </c>
      <c r="AB1200">
        <v>-8.266555439248241E-2</v>
      </c>
      <c r="AC1200">
        <v>1.5081696509961116E-6</v>
      </c>
      <c r="AD1200">
        <v>0.59589828697336056</v>
      </c>
      <c r="AE1200">
        <v>0.58435582423720878</v>
      </c>
    </row>
    <row r="1201" spans="23:31" x14ac:dyDescent="0.25">
      <c r="W1201">
        <v>67.2</v>
      </c>
      <c r="X1201">
        <v>67.462816361619474</v>
      </c>
      <c r="Y1201">
        <v>-0.26281636161947119</v>
      </c>
      <c r="Z1201">
        <v>-0.26344435819009959</v>
      </c>
      <c r="AA1201">
        <v>2.3837920650124373E-3</v>
      </c>
      <c r="AB1201">
        <v>-7.1397247719999765E-2</v>
      </c>
      <c r="AC1201">
        <v>1.1073250620180071E-6</v>
      </c>
      <c r="AD1201">
        <v>0.59589828697336056</v>
      </c>
      <c r="AE1201">
        <v>0.58523632374862933</v>
      </c>
    </row>
    <row r="1202" spans="23:31" x14ac:dyDescent="0.25">
      <c r="W1202">
        <v>66.8</v>
      </c>
      <c r="X1202">
        <v>66.98136610295748</v>
      </c>
      <c r="Y1202">
        <v>-0.18136610295748312</v>
      </c>
      <c r="Z1202">
        <v>-0.18185760339254387</v>
      </c>
      <c r="AA1202">
        <v>2.7026664043105168E-3</v>
      </c>
      <c r="AB1202">
        <v>-4.9278174649877361E-2</v>
      </c>
      <c r="AC1202">
        <v>5.9825222834973999E-7</v>
      </c>
      <c r="AD1202">
        <v>0.59589828697336056</v>
      </c>
      <c r="AE1202">
        <v>0.58740535543976802</v>
      </c>
    </row>
    <row r="1203" spans="23:31" x14ac:dyDescent="0.25">
      <c r="W1203">
        <v>66.8</v>
      </c>
      <c r="X1203">
        <v>66.969643303637909</v>
      </c>
      <c r="Y1203">
        <v>-0.16964330363791191</v>
      </c>
      <c r="Z1203">
        <v>-0.17008301838222906</v>
      </c>
      <c r="AA1203">
        <v>2.5852948078202921E-3</v>
      </c>
      <c r="AB1203">
        <v>-4.6090313052179525E-2</v>
      </c>
      <c r="AC1203">
        <v>5.0056552761748915E-7</v>
      </c>
      <c r="AD1203">
        <v>0.59589828697336056</v>
      </c>
      <c r="AE1203">
        <v>0.59001016071073653</v>
      </c>
    </row>
    <row r="1204" spans="23:31" x14ac:dyDescent="0.25">
      <c r="W1204">
        <v>66.8</v>
      </c>
      <c r="X1204">
        <v>66.892083581141151</v>
      </c>
      <c r="Y1204">
        <v>-9.2083581141153559E-2</v>
      </c>
      <c r="Z1204">
        <v>-9.2316735038451725E-2</v>
      </c>
      <c r="AA1204">
        <v>2.5255864736027688E-3</v>
      </c>
      <c r="AB1204">
        <v>-2.5017398047186896E-2</v>
      </c>
      <c r="AC1204">
        <v>1.4406287270709227E-7</v>
      </c>
      <c r="AD1204">
        <v>0.59589828697336056</v>
      </c>
      <c r="AE1204">
        <v>0.59057578499368524</v>
      </c>
    </row>
    <row r="1205" spans="23:31" x14ac:dyDescent="0.25">
      <c r="W1205">
        <v>77.3</v>
      </c>
      <c r="X1205">
        <v>79.694653012663835</v>
      </c>
      <c r="Y1205">
        <v>-2.3946530126638379</v>
      </c>
      <c r="Z1205">
        <v>-2.4040065233530044</v>
      </c>
      <c r="AA1205">
        <v>3.8908008769134878E-3</v>
      </c>
      <c r="AB1205">
        <v>-0.65102840438249576</v>
      </c>
      <c r="AC1205">
        <v>1.5050095078974159E-4</v>
      </c>
      <c r="AD1205">
        <v>0.59589828697336056</v>
      </c>
      <c r="AE1205">
        <v>0.59105566269113652</v>
      </c>
    </row>
    <row r="1206" spans="23:31" x14ac:dyDescent="0.25">
      <c r="W1206">
        <v>77.099999999999994</v>
      </c>
      <c r="X1206">
        <v>76.419555367156505</v>
      </c>
      <c r="Y1206">
        <v>0.68044463284348922</v>
      </c>
      <c r="Z1206">
        <v>0.68722468048828489</v>
      </c>
      <c r="AA1206">
        <v>9.865838403785453E-3</v>
      </c>
      <c r="AB1206">
        <v>0.18554813371067566</v>
      </c>
      <c r="AC1206">
        <v>3.1186055589732418E-5</v>
      </c>
      <c r="AD1206">
        <v>0.59589828697336056</v>
      </c>
      <c r="AE1206">
        <v>0.59130740583508601</v>
      </c>
    </row>
    <row r="1207" spans="23:31" x14ac:dyDescent="0.25">
      <c r="W1207">
        <v>76.8</v>
      </c>
      <c r="X1207">
        <v>76.438718169929075</v>
      </c>
      <c r="Y1207">
        <v>0.36128183007092218</v>
      </c>
      <c r="Z1207">
        <v>0.36240381605458083</v>
      </c>
      <c r="AA1207">
        <v>3.0959552133495321E-3</v>
      </c>
      <c r="AB1207">
        <v>9.8181635249785501E-2</v>
      </c>
      <c r="AC1207">
        <v>2.7215050751072949E-6</v>
      </c>
      <c r="AD1207">
        <v>0.61415241452626612</v>
      </c>
      <c r="AE1207">
        <v>0.59217104452789693</v>
      </c>
    </row>
    <row r="1208" spans="23:31" x14ac:dyDescent="0.25">
      <c r="W1208">
        <v>76.7</v>
      </c>
      <c r="X1208">
        <v>76.40447777245555</v>
      </c>
      <c r="Y1208">
        <v>0.29552222754445268</v>
      </c>
      <c r="Z1208">
        <v>0.29644709126375801</v>
      </c>
      <c r="AA1208">
        <v>3.1198272695354113E-3</v>
      </c>
      <c r="AB1208">
        <v>8.0311824569687121E-2</v>
      </c>
      <c r="AC1208">
        <v>1.8350753077501223E-6</v>
      </c>
      <c r="AD1208">
        <v>0.61415241452626612</v>
      </c>
      <c r="AE1208">
        <v>0.59282347474257768</v>
      </c>
    </row>
    <row r="1209" spans="23:31" x14ac:dyDescent="0.25">
      <c r="W1209">
        <v>76.3</v>
      </c>
      <c r="X1209">
        <v>78.142677529531852</v>
      </c>
      <c r="Y1209">
        <v>-1.8426775295318549</v>
      </c>
      <c r="Z1209">
        <v>-1.8493729404079318</v>
      </c>
      <c r="AA1209">
        <v>3.6203681419733178E-3</v>
      </c>
      <c r="AB1209">
        <v>-0.50089620279580627</v>
      </c>
      <c r="AC1209">
        <v>8.2876363614672372E-5</v>
      </c>
      <c r="AD1209">
        <v>0.61415241452626612</v>
      </c>
      <c r="AE1209">
        <v>0.59805444381316175</v>
      </c>
    </row>
    <row r="1210" spans="23:31" x14ac:dyDescent="0.25">
      <c r="W1210">
        <v>75.7</v>
      </c>
      <c r="X1210">
        <v>76.346778786606507</v>
      </c>
      <c r="Y1210">
        <v>-0.64677878660650379</v>
      </c>
      <c r="Z1210">
        <v>-0.64833518652669397</v>
      </c>
      <c r="AA1210">
        <v>2.4006099815928536E-3</v>
      </c>
      <c r="AB1210">
        <v>-0.17570677185540801</v>
      </c>
      <c r="AC1210">
        <v>6.7538241252687693E-6</v>
      </c>
      <c r="AD1210">
        <v>0.61415241452626612</v>
      </c>
      <c r="AE1210">
        <v>0.59839639444481885</v>
      </c>
    </row>
    <row r="1211" spans="23:31" x14ac:dyDescent="0.25">
      <c r="W1211">
        <v>75.5</v>
      </c>
      <c r="X1211">
        <v>77.720977464312412</v>
      </c>
      <c r="Y1211">
        <v>-2.2209774643124121</v>
      </c>
      <c r="Z1211">
        <v>-2.2305571720411734</v>
      </c>
      <c r="AA1211">
        <v>4.2947600038428999E-3</v>
      </c>
      <c r="AB1211">
        <v>-0.60393413292885301</v>
      </c>
      <c r="AC1211">
        <v>1.4301927539221148E-4</v>
      </c>
      <c r="AD1211">
        <v>0.61415241452626612</v>
      </c>
      <c r="AE1211">
        <v>0.60024722176296363</v>
      </c>
    </row>
    <row r="1212" spans="23:31" x14ac:dyDescent="0.25">
      <c r="W1212">
        <v>75.3</v>
      </c>
      <c r="X1212">
        <v>75.29413933307039</v>
      </c>
      <c r="Y1212">
        <v>5.8606669296068503E-3</v>
      </c>
      <c r="Z1212">
        <v>5.8797613246213132E-3</v>
      </c>
      <c r="AA1212">
        <v>3.2474779099382705E-3</v>
      </c>
      <c r="AB1212">
        <v>1.5928107895335358E-3</v>
      </c>
      <c r="AC1212">
        <v>7.5144042504837897E-10</v>
      </c>
      <c r="AD1212">
        <v>0.61415241452626612</v>
      </c>
      <c r="AE1212">
        <v>0.6015744509432438</v>
      </c>
    </row>
    <row r="1213" spans="23:31" x14ac:dyDescent="0.25">
      <c r="W1213">
        <v>75.2</v>
      </c>
      <c r="X1213">
        <v>75.255389408396752</v>
      </c>
      <c r="Y1213">
        <v>-5.5389408396749218E-2</v>
      </c>
      <c r="Z1213">
        <v>-5.5554681006327655E-2</v>
      </c>
      <c r="AA1213">
        <v>2.9749538038437947E-3</v>
      </c>
      <c r="AB1213">
        <v>-1.5051663912342948E-2</v>
      </c>
      <c r="AC1213">
        <v>6.1454048324684382E-8</v>
      </c>
      <c r="AD1213">
        <v>0.61415241452626612</v>
      </c>
      <c r="AE1213">
        <v>0.60424916153655561</v>
      </c>
    </row>
    <row r="1214" spans="23:31" x14ac:dyDescent="0.25">
      <c r="W1214">
        <v>75</v>
      </c>
      <c r="X1214">
        <v>75.107644095211654</v>
      </c>
      <c r="Y1214">
        <v>-0.10764409521165419</v>
      </c>
      <c r="Z1214">
        <v>-0.10791121493930689</v>
      </c>
      <c r="AA1214">
        <v>2.4753657699329566E-3</v>
      </c>
      <c r="AB1214">
        <v>-2.9244164418415028E-2</v>
      </c>
      <c r="AC1214">
        <v>1.929307711995916E-7</v>
      </c>
      <c r="AD1214">
        <v>0.61415241452626612</v>
      </c>
      <c r="AE1214">
        <v>0.60536348141882623</v>
      </c>
    </row>
    <row r="1215" spans="23:31" x14ac:dyDescent="0.25">
      <c r="W1215">
        <v>74.900000000000006</v>
      </c>
      <c r="X1215">
        <v>76.070532475632689</v>
      </c>
      <c r="Y1215">
        <v>-1.1705324756326831</v>
      </c>
      <c r="Z1215">
        <v>-1.1730761049021936</v>
      </c>
      <c r="AA1215">
        <v>2.1683412174937225E-3</v>
      </c>
      <c r="AB1215">
        <v>-0.31795499201895411</v>
      </c>
      <c r="AC1215">
        <v>1.9971420557845475E-5</v>
      </c>
      <c r="AD1215">
        <v>0.61415241452626612</v>
      </c>
      <c r="AE1215">
        <v>0.60571454584220219</v>
      </c>
    </row>
    <row r="1216" spans="23:31" x14ac:dyDescent="0.25">
      <c r="W1216">
        <v>74.7</v>
      </c>
      <c r="X1216">
        <v>75.809400473467548</v>
      </c>
      <c r="Y1216">
        <v>-1.1094004734675451</v>
      </c>
      <c r="Z1216">
        <v>-1.1117298681870125</v>
      </c>
      <c r="AA1216">
        <v>2.0952884204352251E-3</v>
      </c>
      <c r="AB1216">
        <v>-0.30133850571437193</v>
      </c>
      <c r="AC1216">
        <v>1.7332903346872622E-5</v>
      </c>
      <c r="AD1216">
        <v>0.61415241452626612</v>
      </c>
      <c r="AE1216">
        <v>0.60719905174637678</v>
      </c>
    </row>
    <row r="1217" spans="23:31" x14ac:dyDescent="0.25">
      <c r="W1217">
        <v>74.5</v>
      </c>
      <c r="X1217">
        <v>75.489389648494935</v>
      </c>
      <c r="Y1217">
        <v>-0.98938964849493516</v>
      </c>
      <c r="Z1217">
        <v>-0.99115299236684962</v>
      </c>
      <c r="AA1217">
        <v>1.7790834366574573E-3</v>
      </c>
      <c r="AB1217">
        <v>-0.26869825708532225</v>
      </c>
      <c r="AC1217">
        <v>1.1697866594458828E-5</v>
      </c>
      <c r="AD1217">
        <v>0.63261352584071384</v>
      </c>
      <c r="AE1217">
        <v>0.60870082719179286</v>
      </c>
    </row>
    <row r="1218" spans="23:31" x14ac:dyDescent="0.25">
      <c r="W1218">
        <v>74.2</v>
      </c>
      <c r="X1218">
        <v>75.012159993166421</v>
      </c>
      <c r="Y1218">
        <v>-0.81215999316641785</v>
      </c>
      <c r="Z1218">
        <v>-0.8135426308983682</v>
      </c>
      <c r="AA1218">
        <v>1.6995270800059244E-3</v>
      </c>
      <c r="AB1218">
        <v>-0.22055747135330653</v>
      </c>
      <c r="AC1218">
        <v>7.5286598351388462E-6</v>
      </c>
      <c r="AD1218">
        <v>0.63261352584071384</v>
      </c>
      <c r="AE1218">
        <v>0.60943519683312541</v>
      </c>
    </row>
    <row r="1219" spans="23:31" x14ac:dyDescent="0.25">
      <c r="W1219">
        <v>73.7</v>
      </c>
      <c r="X1219">
        <v>74.641062892745822</v>
      </c>
      <c r="Y1219">
        <v>-0.94106289274581911</v>
      </c>
      <c r="Z1219">
        <v>-0.94286016132579675</v>
      </c>
      <c r="AA1219">
        <v>1.9061878459759065E-3</v>
      </c>
      <c r="AB1219">
        <v>-0.25558995850258259</v>
      </c>
      <c r="AC1219">
        <v>1.1341989026735105E-5</v>
      </c>
      <c r="AD1219">
        <v>0.63261352584071384</v>
      </c>
      <c r="AE1219">
        <v>0.61234815875840687</v>
      </c>
    </row>
    <row r="1220" spans="23:31" x14ac:dyDescent="0.25">
      <c r="W1220">
        <v>89</v>
      </c>
      <c r="X1220">
        <v>76.997742304590858</v>
      </c>
      <c r="Y1220">
        <v>12.002257695409142</v>
      </c>
      <c r="Z1220">
        <v>12.128272632144373</v>
      </c>
      <c r="AA1220">
        <v>1.0390180082301874E-2</v>
      </c>
      <c r="AB1220">
        <v>3.273721789590176</v>
      </c>
      <c r="AC1220">
        <v>1.0229394592210337E-2</v>
      </c>
      <c r="AD1220">
        <v>0.63261352584071384</v>
      </c>
      <c r="AE1220">
        <v>0.61543758908738644</v>
      </c>
    </row>
    <row r="1221" spans="23:31" x14ac:dyDescent="0.25">
      <c r="W1221">
        <v>86</v>
      </c>
      <c r="X1221">
        <v>77.48848726710591</v>
      </c>
      <c r="Y1221">
        <v>8.51151273289409</v>
      </c>
      <c r="Z1221">
        <v>8.589130764241105</v>
      </c>
      <c r="AA1221">
        <v>9.0367737408494665E-3</v>
      </c>
      <c r="AB1221">
        <v>2.3200043753780446</v>
      </c>
      <c r="AC1221">
        <v>4.4621153491136711E-3</v>
      </c>
      <c r="AD1221">
        <v>0.63261352584071384</v>
      </c>
      <c r="AE1221">
        <v>0.61552755017534833</v>
      </c>
    </row>
    <row r="1222" spans="23:31" x14ac:dyDescent="0.25">
      <c r="W1222">
        <v>83</v>
      </c>
      <c r="X1222">
        <v>78.183524332876104</v>
      </c>
      <c r="Y1222">
        <v>4.8164756671238962</v>
      </c>
      <c r="Z1222">
        <v>4.8403884409273985</v>
      </c>
      <c r="AA1222">
        <v>4.9402592571531805E-3</v>
      </c>
      <c r="AB1222">
        <v>1.310133684723729</v>
      </c>
      <c r="AC1222">
        <v>7.7470993565295122E-4</v>
      </c>
      <c r="AD1222">
        <v>0.63261352584071384</v>
      </c>
      <c r="AE1222">
        <v>0.61699480849313892</v>
      </c>
    </row>
    <row r="1223" spans="23:31" x14ac:dyDescent="0.25">
      <c r="W1223">
        <v>82</v>
      </c>
      <c r="X1223">
        <v>78.613140760050314</v>
      </c>
      <c r="Y1223">
        <v>3.3868592399496862</v>
      </c>
      <c r="Z1223">
        <v>3.410615475574275</v>
      </c>
      <c r="AA1223">
        <v>6.9653808219434007E-3</v>
      </c>
      <c r="AB1223">
        <v>0.92220139093862952</v>
      </c>
      <c r="AC1223">
        <v>5.4229966651814449E-4</v>
      </c>
      <c r="AD1223">
        <v>0.63261352584071384</v>
      </c>
      <c r="AE1223">
        <v>0.61782866809787707</v>
      </c>
    </row>
    <row r="1224" spans="23:31" x14ac:dyDescent="0.25">
      <c r="W1224">
        <v>79.599999999999994</v>
      </c>
      <c r="X1224">
        <v>78.262482230560209</v>
      </c>
      <c r="Y1224">
        <v>1.3375177694397848</v>
      </c>
      <c r="Z1224">
        <v>1.3475805678044139</v>
      </c>
      <c r="AA1224">
        <v>7.4673074137827332E-3</v>
      </c>
      <c r="AB1224">
        <v>0.36428221630975915</v>
      </c>
      <c r="AC1224">
        <v>9.076166727858866E-5</v>
      </c>
      <c r="AD1224">
        <v>0.63261352584071384</v>
      </c>
      <c r="AE1224">
        <v>0.6179038259953058</v>
      </c>
    </row>
    <row r="1225" spans="23:31" x14ac:dyDescent="0.25">
      <c r="W1225">
        <v>79.3</v>
      </c>
      <c r="X1225">
        <v>78.336942931885915</v>
      </c>
      <c r="Y1225">
        <v>0.96305706811408243</v>
      </c>
      <c r="Z1225">
        <v>0.97108836763406714</v>
      </c>
      <c r="AA1225">
        <v>8.2704105904870956E-3</v>
      </c>
      <c r="AB1225">
        <v>0.2624014360347724</v>
      </c>
      <c r="AC1225">
        <v>5.2200363782739434E-5</v>
      </c>
      <c r="AD1225">
        <v>0.63261352584071384</v>
      </c>
      <c r="AE1225">
        <v>0.62042589568649131</v>
      </c>
    </row>
    <row r="1226" spans="23:31" x14ac:dyDescent="0.25">
      <c r="W1226">
        <v>79</v>
      </c>
      <c r="X1226">
        <v>78.670188657894485</v>
      </c>
      <c r="Y1226">
        <v>0.32981134210551488</v>
      </c>
      <c r="Z1226">
        <v>0.33134700902782299</v>
      </c>
      <c r="AA1226">
        <v>4.6346183320504558E-3</v>
      </c>
      <c r="AB1226">
        <v>8.9698491789817772E-2</v>
      </c>
      <c r="AC1226">
        <v>3.4057207817614235E-6</v>
      </c>
      <c r="AD1226">
        <v>0.64941472986293525</v>
      </c>
      <c r="AE1226">
        <v>0.62195852158022313</v>
      </c>
    </row>
    <row r="1227" spans="23:31" x14ac:dyDescent="0.25">
      <c r="W1227">
        <v>78.7</v>
      </c>
      <c r="X1227">
        <v>76.605253337381811</v>
      </c>
      <c r="Y1227">
        <v>2.0947466626181921</v>
      </c>
      <c r="Z1227">
        <v>2.1054556857632463</v>
      </c>
      <c r="AA1227">
        <v>5.0863208461089226E-3</v>
      </c>
      <c r="AB1227">
        <v>0.56983566328763724</v>
      </c>
      <c r="AC1227">
        <v>1.5091239699116144E-4</v>
      </c>
      <c r="AD1227">
        <v>0.64941472986293525</v>
      </c>
      <c r="AE1227">
        <v>0.62334679167235962</v>
      </c>
    </row>
    <row r="1228" spans="23:31" x14ac:dyDescent="0.25">
      <c r="W1228">
        <v>78.5</v>
      </c>
      <c r="X1228">
        <v>77.614663095130325</v>
      </c>
      <c r="Y1228">
        <v>0.88533690486967487</v>
      </c>
      <c r="Z1228">
        <v>0.88942690122259194</v>
      </c>
      <c r="AA1228">
        <v>4.5984626137220907E-3</v>
      </c>
      <c r="AB1228">
        <v>0.2407799025844902</v>
      </c>
      <c r="AC1228">
        <v>2.4347935154738527E-5</v>
      </c>
      <c r="AD1228">
        <v>0.64941472986293525</v>
      </c>
      <c r="AE1228">
        <v>0.62371713763766934</v>
      </c>
    </row>
    <row r="1229" spans="23:31" x14ac:dyDescent="0.25">
      <c r="W1229">
        <v>77.7</v>
      </c>
      <c r="X1229">
        <v>78.973675312883557</v>
      </c>
      <c r="Y1229">
        <v>-1.2736753128835545</v>
      </c>
      <c r="Z1229">
        <v>-1.2808712728685094</v>
      </c>
      <c r="AA1229">
        <v>5.618019653798375E-3</v>
      </c>
      <c r="AB1229">
        <v>-0.34657156569192155</v>
      </c>
      <c r="AC1229">
        <v>6.1691194595993442E-5</v>
      </c>
      <c r="AD1229">
        <v>0.64941472986293525</v>
      </c>
      <c r="AE1229">
        <v>0.62384532910637081</v>
      </c>
    </row>
    <row r="1230" spans="23:31" x14ac:dyDescent="0.25">
      <c r="W1230">
        <v>78</v>
      </c>
      <c r="X1230">
        <v>76.693024562971928</v>
      </c>
      <c r="Y1230">
        <v>1.306975437028072</v>
      </c>
      <c r="Z1230">
        <v>1.3149376160428261</v>
      </c>
      <c r="AA1230">
        <v>6.0551762438073196E-3</v>
      </c>
      <c r="AB1230">
        <v>0.35571084600343811</v>
      </c>
      <c r="AC1230">
        <v>7.0075473641465223E-5</v>
      </c>
      <c r="AD1230">
        <v>0.64941472986293525</v>
      </c>
      <c r="AE1230">
        <v>0.62653001714296586</v>
      </c>
    </row>
    <row r="1231" spans="23:31" x14ac:dyDescent="0.25">
      <c r="W1231">
        <v>77.3</v>
      </c>
      <c r="X1231">
        <v>78.972288431469167</v>
      </c>
      <c r="Y1231">
        <v>-1.6722884314691697</v>
      </c>
      <c r="Z1231">
        <v>-1.6822807126779935</v>
      </c>
      <c r="AA1231">
        <v>5.9397228616623488E-3</v>
      </c>
      <c r="AB1231">
        <v>-0.45510923227445371</v>
      </c>
      <c r="AC1231">
        <v>1.1251024447994328E-4</v>
      </c>
      <c r="AD1231">
        <v>0.64941472986293525</v>
      </c>
      <c r="AE1231">
        <v>0.6283262304064956</v>
      </c>
    </row>
    <row r="1232" spans="23:31" x14ac:dyDescent="0.25">
      <c r="W1232">
        <v>77.2</v>
      </c>
      <c r="X1232">
        <v>78.971488465042398</v>
      </c>
      <c r="Y1232">
        <v>-1.7714884650423954</v>
      </c>
      <c r="Z1232">
        <v>-1.7789647768753269</v>
      </c>
      <c r="AA1232">
        <v>4.2026193717340649E-3</v>
      </c>
      <c r="AB1232">
        <v>-0.48168559531139549</v>
      </c>
      <c r="AC1232">
        <v>8.9019204994505172E-5</v>
      </c>
      <c r="AD1232">
        <v>0.64941472986293525</v>
      </c>
      <c r="AE1232">
        <v>0.62865606251749262</v>
      </c>
    </row>
    <row r="1233" spans="23:31" x14ac:dyDescent="0.25">
      <c r="W1233">
        <v>76.900000000000006</v>
      </c>
      <c r="X1233">
        <v>76.943881943883298</v>
      </c>
      <c r="Y1233">
        <v>-4.3881943883292251E-2</v>
      </c>
      <c r="Z1233">
        <v>-4.4334342729200671E-2</v>
      </c>
      <c r="AA1233">
        <v>1.0204252912152417E-2</v>
      </c>
      <c r="AB1233">
        <v>-1.1968063533955931E-2</v>
      </c>
      <c r="AC1233">
        <v>1.3424271207789641E-7</v>
      </c>
      <c r="AD1233">
        <v>0.64941472986293525</v>
      </c>
      <c r="AE1233">
        <v>0.63341244944895236</v>
      </c>
    </row>
    <row r="1234" spans="23:31" x14ac:dyDescent="0.25">
      <c r="W1234">
        <v>76.599999999999994</v>
      </c>
      <c r="X1234">
        <v>76.008391453820124</v>
      </c>
      <c r="Y1234">
        <v>0.59160854617987013</v>
      </c>
      <c r="Z1234">
        <v>0.59833212567625083</v>
      </c>
      <c r="AA1234">
        <v>1.1237202897609221E-2</v>
      </c>
      <c r="AB1234">
        <v>0.16143555844234228</v>
      </c>
      <c r="AC1234">
        <v>2.692599871052976E-5</v>
      </c>
      <c r="AD1234">
        <v>0.64941472986293525</v>
      </c>
      <c r="AE1234">
        <v>0.63429027187437426</v>
      </c>
    </row>
    <row r="1235" spans="23:31" x14ac:dyDescent="0.25">
      <c r="W1235">
        <v>74.8</v>
      </c>
      <c r="X1235">
        <v>76.047125400144765</v>
      </c>
      <c r="Y1235">
        <v>-1.2471254001447676</v>
      </c>
      <c r="Z1235">
        <v>-1.2532246832576988</v>
      </c>
      <c r="AA1235">
        <v>4.8668711959002804E-3</v>
      </c>
      <c r="AB1235">
        <v>-0.33921914278836146</v>
      </c>
      <c r="AC1235">
        <v>5.116072469024113E-5</v>
      </c>
      <c r="AD1235">
        <v>0.64941472986293525</v>
      </c>
      <c r="AE1235">
        <v>0.63669430751630163</v>
      </c>
    </row>
    <row r="1236" spans="23:31" x14ac:dyDescent="0.25">
      <c r="W1236">
        <v>74.599999999999994</v>
      </c>
      <c r="X1236">
        <v>75.55835952348076</v>
      </c>
      <c r="Y1236">
        <v>-0.95835952348076603</v>
      </c>
      <c r="Z1236">
        <v>-0.96036906944937073</v>
      </c>
      <c r="AA1236">
        <v>2.0924726050918795E-3</v>
      </c>
      <c r="AB1236">
        <v>-0.2603119668741426</v>
      </c>
      <c r="AC1236">
        <v>1.2917101268021502E-5</v>
      </c>
      <c r="AD1236">
        <v>0.64941472986293525</v>
      </c>
      <c r="AE1236">
        <v>0.63861394813730465</v>
      </c>
    </row>
    <row r="1237" spans="23:31" x14ac:dyDescent="0.25">
      <c r="W1237">
        <v>74.400000000000006</v>
      </c>
      <c r="X1237">
        <v>76.012997660020616</v>
      </c>
      <c r="Y1237">
        <v>-1.6129976600206106</v>
      </c>
      <c r="Z1237">
        <v>-1.6165681837866117</v>
      </c>
      <c r="AA1237">
        <v>2.208705949928844E-3</v>
      </c>
      <c r="AB1237">
        <v>-0.43815190295364809</v>
      </c>
      <c r="AC1237">
        <v>3.8632686523654791E-5</v>
      </c>
      <c r="AD1237">
        <v>0.67020216077934069</v>
      </c>
      <c r="AE1237">
        <v>0.64084035269494422</v>
      </c>
    </row>
    <row r="1238" spans="23:31" x14ac:dyDescent="0.25">
      <c r="W1238">
        <v>74.3</v>
      </c>
      <c r="X1238">
        <v>75.864321292930583</v>
      </c>
      <c r="Y1238">
        <v>-1.5643212929305861</v>
      </c>
      <c r="Z1238">
        <v>-1.5687838270388283</v>
      </c>
      <c r="AA1238">
        <v>2.844581918376614E-3</v>
      </c>
      <c r="AB1238">
        <v>-0.42506500358471266</v>
      </c>
      <c r="AC1238">
        <v>4.685690583845441E-5</v>
      </c>
      <c r="AD1238">
        <v>0.67020216077934069</v>
      </c>
      <c r="AE1238">
        <v>0.64209300372084366</v>
      </c>
    </row>
    <row r="1239" spans="23:31" x14ac:dyDescent="0.25">
      <c r="W1239">
        <v>73.400000000000006</v>
      </c>
      <c r="X1239">
        <v>76.244850819221568</v>
      </c>
      <c r="Y1239">
        <v>-2.8448508192215627</v>
      </c>
      <c r="Z1239">
        <v>-2.8512862351465458</v>
      </c>
      <c r="AA1239">
        <v>2.2570220575040857E-3</v>
      </c>
      <c r="AB1239">
        <v>-0.77278908157354309</v>
      </c>
      <c r="AC1239">
        <v>1.2281358058829496E-4</v>
      </c>
      <c r="AD1239">
        <v>0.67020216077934069</v>
      </c>
      <c r="AE1239">
        <v>0.64246074366654515</v>
      </c>
    </row>
    <row r="1240" spans="23:31" x14ac:dyDescent="0.25">
      <c r="W1240">
        <v>73.099999999999994</v>
      </c>
      <c r="X1240">
        <v>75.169847225341073</v>
      </c>
      <c r="Y1240">
        <v>-2.0698472253410785</v>
      </c>
      <c r="Z1240">
        <v>-2.0764821824370756</v>
      </c>
      <c r="AA1240">
        <v>3.1952872758160625E-3</v>
      </c>
      <c r="AB1240">
        <v>-0.56252790388842455</v>
      </c>
      <c r="AC1240">
        <v>9.2213664891784648E-5</v>
      </c>
      <c r="AD1240">
        <v>0.67020216077934069</v>
      </c>
      <c r="AE1240">
        <v>0.64308748268531646</v>
      </c>
    </row>
    <row r="1241" spans="23:31" x14ac:dyDescent="0.25">
      <c r="W1241">
        <v>73.099999999999994</v>
      </c>
      <c r="X1241">
        <v>74.239709045122268</v>
      </c>
      <c r="Y1241">
        <v>-1.1397090451222738</v>
      </c>
      <c r="Z1241">
        <v>-1.1442477709814227</v>
      </c>
      <c r="AA1241">
        <v>3.9665586197768698E-3</v>
      </c>
      <c r="AB1241">
        <v>-0.30986166849596003</v>
      </c>
      <c r="AC1241">
        <v>3.4760257257214682E-5</v>
      </c>
      <c r="AD1241">
        <v>0.67020216077934069</v>
      </c>
      <c r="AE1241">
        <v>0.64376610379171284</v>
      </c>
    </row>
    <row r="1242" spans="23:31" x14ac:dyDescent="0.25">
      <c r="W1242">
        <v>72.900000000000006</v>
      </c>
      <c r="X1242">
        <v>74.082505150748631</v>
      </c>
      <c r="Y1242">
        <v>-1.1825051507486251</v>
      </c>
      <c r="Z1242">
        <v>-1.1857500411452406</v>
      </c>
      <c r="AA1242">
        <v>2.7365720295303639E-3</v>
      </c>
      <c r="AB1242">
        <v>-0.32129866035736787</v>
      </c>
      <c r="AC1242">
        <v>2.5752662449761326E-5</v>
      </c>
      <c r="AD1242">
        <v>0.67020216077934069</v>
      </c>
      <c r="AE1242">
        <v>0.645150986535861</v>
      </c>
    </row>
    <row r="1243" spans="23:31" x14ac:dyDescent="0.25">
      <c r="W1243">
        <v>72.5</v>
      </c>
      <c r="X1243">
        <v>73.648426258044481</v>
      </c>
      <c r="Y1243">
        <v>-1.1484262580444806</v>
      </c>
      <c r="Z1243">
        <v>-1.1505459323027907</v>
      </c>
      <c r="AA1243">
        <v>1.8423204139880003E-3</v>
      </c>
      <c r="AB1243">
        <v>-0.31189926950221369</v>
      </c>
      <c r="AC1243">
        <v>1.6323077474551425E-5</v>
      </c>
      <c r="AD1243">
        <v>0.67020216077934069</v>
      </c>
      <c r="AE1243">
        <v>0.64834196573578573</v>
      </c>
    </row>
    <row r="1244" spans="23:31" x14ac:dyDescent="0.25">
      <c r="W1244">
        <v>71.900000000000006</v>
      </c>
      <c r="X1244">
        <v>73.20301250860642</v>
      </c>
      <c r="Y1244">
        <v>-1.3030125086064146</v>
      </c>
      <c r="Z1244">
        <v>-1.3052105104714116</v>
      </c>
      <c r="AA1244">
        <v>1.6840209662469716E-3</v>
      </c>
      <c r="AB1244">
        <v>-0.35385504647660382</v>
      </c>
      <c r="AC1244">
        <v>1.9201606873205634E-5</v>
      </c>
      <c r="AD1244">
        <v>0.67020216077934069</v>
      </c>
      <c r="AE1244">
        <v>0.649419201442197</v>
      </c>
    </row>
    <row r="1245" spans="23:31" x14ac:dyDescent="0.25">
      <c r="W1245">
        <v>71.7</v>
      </c>
      <c r="X1245">
        <v>72.255966503299945</v>
      </c>
      <c r="Y1245">
        <v>-0.55596650329994191</v>
      </c>
      <c r="Z1245">
        <v>-0.55757493877396769</v>
      </c>
      <c r="AA1245">
        <v>2.8846982928583684E-3</v>
      </c>
      <c r="AB1245">
        <v>-0.1510729660466309</v>
      </c>
      <c r="AC1245">
        <v>6.002550785533854E-6</v>
      </c>
      <c r="AD1245">
        <v>0.67020216077934069</v>
      </c>
      <c r="AE1245">
        <v>0.65067797654040371</v>
      </c>
    </row>
    <row r="1246" spans="23:31" x14ac:dyDescent="0.25">
      <c r="W1246">
        <v>71.099999999999994</v>
      </c>
      <c r="X1246">
        <v>71.652493933042507</v>
      </c>
      <c r="Y1246">
        <v>-0.55249393304251271</v>
      </c>
      <c r="Z1246">
        <v>-0.55393447650034489</v>
      </c>
      <c r="AA1246">
        <v>2.6005665271688124E-3</v>
      </c>
      <c r="AB1246">
        <v>-0.15010797796181391</v>
      </c>
      <c r="AC1246">
        <v>5.3408910100111395E-6</v>
      </c>
      <c r="AD1246">
        <v>0.67020216077934069</v>
      </c>
      <c r="AE1246">
        <v>0.65140754437946857</v>
      </c>
    </row>
    <row r="1247" spans="23:31" x14ac:dyDescent="0.25">
      <c r="W1247">
        <v>77</v>
      </c>
      <c r="X1247">
        <v>70.75226870078545</v>
      </c>
      <c r="Y1247">
        <v>6.2477312992145499</v>
      </c>
      <c r="Z1247">
        <v>6.2722807903271303</v>
      </c>
      <c r="AA1247">
        <v>3.9139655785884134E-3</v>
      </c>
      <c r="AB1247">
        <v>1.6985750389329386</v>
      </c>
      <c r="AC1247">
        <v>1.0306161437800144E-3</v>
      </c>
      <c r="AD1247">
        <v>0.67020216077934069</v>
      </c>
      <c r="AE1247">
        <v>0.65266928763097931</v>
      </c>
    </row>
    <row r="1248" spans="23:31" x14ac:dyDescent="0.25">
      <c r="W1248">
        <v>78</v>
      </c>
      <c r="X1248">
        <v>70.432788990169698</v>
      </c>
      <c r="Y1248">
        <v>7.5672110098303023</v>
      </c>
      <c r="Z1248">
        <v>7.600207055312481</v>
      </c>
      <c r="AA1248">
        <v>4.3414666524267797E-3</v>
      </c>
      <c r="AB1248">
        <v>2.0577445221394957</v>
      </c>
      <c r="AC1248">
        <v>1.6784803934335336E-3</v>
      </c>
      <c r="AD1248">
        <v>0.67020216077934069</v>
      </c>
      <c r="AE1248">
        <v>0.65462651227866275</v>
      </c>
    </row>
    <row r="1249" spans="23:31" x14ac:dyDescent="0.25">
      <c r="W1249">
        <v>77</v>
      </c>
      <c r="X1249">
        <v>70.199384979026362</v>
      </c>
      <c r="Y1249">
        <v>6.8006150209736376</v>
      </c>
      <c r="Z1249">
        <v>6.8336483198085034</v>
      </c>
      <c r="AA1249">
        <v>4.8339184706226376E-3</v>
      </c>
      <c r="AB1249">
        <v>1.8497422980374481</v>
      </c>
      <c r="AC1249">
        <v>1.5108923631106347E-3</v>
      </c>
      <c r="AD1249">
        <v>0.67020216077934069</v>
      </c>
      <c r="AE1249">
        <v>0.65481265125719568</v>
      </c>
    </row>
    <row r="1250" spans="23:31" x14ac:dyDescent="0.25">
      <c r="W1250">
        <v>73</v>
      </c>
      <c r="X1250">
        <v>74.519297751438032</v>
      </c>
      <c r="Y1250">
        <v>-1.5192977514380317</v>
      </c>
      <c r="Z1250">
        <v>-1.5241710423322559</v>
      </c>
      <c r="AA1250">
        <v>3.1973385918456147E-3</v>
      </c>
      <c r="AB1250">
        <v>-0.41290402906194307</v>
      </c>
      <c r="AC1250">
        <v>4.9714719911921762E-5</v>
      </c>
      <c r="AD1250">
        <v>0.67020216077934069</v>
      </c>
      <c r="AE1250">
        <v>0.65496596096917747</v>
      </c>
    </row>
    <row r="1251" spans="23:31" x14ac:dyDescent="0.25">
      <c r="W1251">
        <v>70</v>
      </c>
      <c r="X1251">
        <v>74.117359655893694</v>
      </c>
      <c r="Y1251">
        <v>-4.1173596558936936</v>
      </c>
      <c r="Z1251">
        <v>-4.1315472759977041</v>
      </c>
      <c r="AA1251">
        <v>3.433972590954848E-3</v>
      </c>
      <c r="AB1251">
        <v>-1.1191198158772673</v>
      </c>
      <c r="AC1251">
        <v>3.9232974189059102E-4</v>
      </c>
      <c r="AD1251">
        <v>0.67020216077934069</v>
      </c>
      <c r="AE1251">
        <v>0.65851967150999868</v>
      </c>
    </row>
    <row r="1252" spans="23:31" x14ac:dyDescent="0.25">
      <c r="W1252">
        <v>69.599999999999994</v>
      </c>
      <c r="X1252">
        <v>72.828616468880682</v>
      </c>
      <c r="Y1252">
        <v>-3.2286164688806878</v>
      </c>
      <c r="Z1252">
        <v>-3.2418937435854502</v>
      </c>
      <c r="AA1252">
        <v>4.0955305000439845E-3</v>
      </c>
      <c r="AB1252">
        <v>-0.8778462071368125</v>
      </c>
      <c r="AC1252">
        <v>2.8809563087964669E-4</v>
      </c>
      <c r="AD1252">
        <v>0.67020216077934069</v>
      </c>
      <c r="AE1252">
        <v>0.6602584308220264</v>
      </c>
    </row>
    <row r="1253" spans="23:31" x14ac:dyDescent="0.25">
      <c r="W1253">
        <v>69.400000000000006</v>
      </c>
      <c r="X1253">
        <v>72.342600170784152</v>
      </c>
      <c r="Y1253">
        <v>-2.9426001707841465</v>
      </c>
      <c r="Z1253">
        <v>-2.9550234793457406</v>
      </c>
      <c r="AA1253">
        <v>4.2041319293829012E-3</v>
      </c>
      <c r="AB1253">
        <v>-0.80012329714755337</v>
      </c>
      <c r="AC1253">
        <v>2.4571245034674821E-4</v>
      </c>
      <c r="AD1253">
        <v>0.67020216077934069</v>
      </c>
      <c r="AE1253">
        <v>0.66027997391688509</v>
      </c>
    </row>
    <row r="1254" spans="23:31" x14ac:dyDescent="0.25">
      <c r="W1254">
        <v>68.400000000000006</v>
      </c>
      <c r="X1254">
        <v>71.712256542734735</v>
      </c>
      <c r="Y1254">
        <v>-3.3122565427347297</v>
      </c>
      <c r="Z1254">
        <v>-3.3273034160205555</v>
      </c>
      <c r="AA1254">
        <v>4.5222426104488617E-3</v>
      </c>
      <c r="AB1254">
        <v>-0.90078056272123486</v>
      </c>
      <c r="AC1254">
        <v>3.3509475057447803E-4</v>
      </c>
      <c r="AD1254">
        <v>0.67020216077934069</v>
      </c>
      <c r="AE1254">
        <v>0.66054811608768793</v>
      </c>
    </row>
    <row r="1255" spans="23:31" x14ac:dyDescent="0.25">
      <c r="W1255">
        <v>68.2</v>
      </c>
      <c r="X1255">
        <v>71.902294147481271</v>
      </c>
      <c r="Y1255">
        <v>-3.7022941474812683</v>
      </c>
      <c r="Z1255">
        <v>-3.7197980032081546</v>
      </c>
      <c r="AA1255">
        <v>4.7055930756964015E-3</v>
      </c>
      <c r="AB1255">
        <v>-1.0069454846100909</v>
      </c>
      <c r="AC1255">
        <v>4.3579479304581867E-4</v>
      </c>
      <c r="AD1255">
        <v>0.67020216077934069</v>
      </c>
      <c r="AE1255">
        <v>0.66129766451067173</v>
      </c>
    </row>
    <row r="1256" spans="23:31" x14ac:dyDescent="0.25">
      <c r="W1256">
        <v>67.5</v>
      </c>
      <c r="X1256">
        <v>71.260933075086726</v>
      </c>
      <c r="Y1256">
        <v>-3.7609330750867258</v>
      </c>
      <c r="Z1256">
        <v>-3.7814864316899275</v>
      </c>
      <c r="AA1256">
        <v>5.4352585879891549E-3</v>
      </c>
      <c r="AB1256">
        <v>-1.0232691851164331</v>
      </c>
      <c r="AC1256">
        <v>5.2020468445840371E-4</v>
      </c>
      <c r="AD1256">
        <v>0.67020216077934069</v>
      </c>
      <c r="AE1256">
        <v>0.66136599863646073</v>
      </c>
    </row>
    <row r="1257" spans="23:31" x14ac:dyDescent="0.25">
      <c r="W1257">
        <v>67.3</v>
      </c>
      <c r="X1257">
        <v>70.849151168896825</v>
      </c>
      <c r="Y1257">
        <v>-3.5491511688968274</v>
      </c>
      <c r="Z1257">
        <v>-3.5700835240827047</v>
      </c>
      <c r="AA1257">
        <v>5.8632676363651291E-3</v>
      </c>
      <c r="AB1257">
        <v>-0.96585572245239448</v>
      </c>
      <c r="AC1257">
        <v>5.001789690300733E-4</v>
      </c>
      <c r="AD1257">
        <v>0.70876261491573156</v>
      </c>
      <c r="AE1257">
        <v>0.66471855308051631</v>
      </c>
    </row>
    <row r="1258" spans="23:31" x14ac:dyDescent="0.25">
      <c r="W1258">
        <v>66.400000000000006</v>
      </c>
      <c r="X1258">
        <v>75.845364750648642</v>
      </c>
      <c r="Y1258">
        <v>-9.4453647506486362</v>
      </c>
      <c r="Z1258">
        <v>-9.4979513634145576</v>
      </c>
      <c r="AA1258">
        <v>5.5366268739259518E-3</v>
      </c>
      <c r="AB1258">
        <v>-2.5700120377587208</v>
      </c>
      <c r="AC1258">
        <v>3.3429824294569917E-3</v>
      </c>
      <c r="AD1258">
        <v>0.70876261491573156</v>
      </c>
      <c r="AE1258">
        <v>0.66511138753323773</v>
      </c>
    </row>
    <row r="1259" spans="23:31" x14ac:dyDescent="0.25">
      <c r="W1259">
        <v>65</v>
      </c>
      <c r="X1259">
        <v>70.099274189240731</v>
      </c>
      <c r="Y1259">
        <v>-5.0992741892407309</v>
      </c>
      <c r="Z1259">
        <v>-5.130259409827147</v>
      </c>
      <c r="AA1259">
        <v>6.0396986021913242E-3</v>
      </c>
      <c r="AB1259">
        <v>-1.3878248679558562</v>
      </c>
      <c r="AC1259">
        <v>1.0639540517669965E-3</v>
      </c>
      <c r="AD1259">
        <v>0.70876261491573156</v>
      </c>
      <c r="AE1259">
        <v>0.66614684990235729</v>
      </c>
    </row>
    <row r="1260" spans="23:31" x14ac:dyDescent="0.25">
      <c r="W1260">
        <v>64.900000000000006</v>
      </c>
      <c r="X1260">
        <v>69.747922624341086</v>
      </c>
      <c r="Y1260">
        <v>-4.8479226243410807</v>
      </c>
      <c r="Z1260">
        <v>-4.8778034305194495</v>
      </c>
      <c r="AA1260">
        <v>6.1258733780483708E-3</v>
      </c>
      <c r="AB1260">
        <v>-1.3194739097425223</v>
      </c>
      <c r="AC1260">
        <v>9.7554107536606085E-4</v>
      </c>
      <c r="AD1260">
        <v>0.70876261491573156</v>
      </c>
      <c r="AE1260">
        <v>0.66862647048291202</v>
      </c>
    </row>
    <row r="1261" spans="23:31" x14ac:dyDescent="0.25">
      <c r="W1261">
        <v>64.599999999999994</v>
      </c>
      <c r="X1261">
        <v>69.375922182373358</v>
      </c>
      <c r="Y1261">
        <v>-4.775922182373364</v>
      </c>
      <c r="Z1261">
        <v>-4.8037985910050622</v>
      </c>
      <c r="AA1261">
        <v>5.8029927990531187E-3</v>
      </c>
      <c r="AB1261">
        <v>-1.2996662349167771</v>
      </c>
      <c r="AC1261">
        <v>8.9629416149904673E-4</v>
      </c>
      <c r="AD1261">
        <v>0.71660092108895201</v>
      </c>
      <c r="AE1261">
        <v>0.66999327587769897</v>
      </c>
    </row>
    <row r="1262" spans="23:31" x14ac:dyDescent="0.25">
      <c r="W1262">
        <v>64.8</v>
      </c>
      <c r="X1262">
        <v>69.200411348680348</v>
      </c>
      <c r="Y1262">
        <v>-4.4004113486803504</v>
      </c>
      <c r="Z1262">
        <v>-4.4247693912966781</v>
      </c>
      <c r="AA1262">
        <v>5.5049292883475884E-3</v>
      </c>
      <c r="AB1262">
        <v>-1.1972994380233852</v>
      </c>
      <c r="AC1262">
        <v>7.2137648621363622E-4</v>
      </c>
      <c r="AD1262">
        <v>0.71660092108895201</v>
      </c>
      <c r="AE1262">
        <v>0.67002593722182324</v>
      </c>
    </row>
    <row r="1263" spans="23:31" x14ac:dyDescent="0.25">
      <c r="W1263">
        <v>65.099999999999994</v>
      </c>
      <c r="X1263">
        <v>73.692330791407159</v>
      </c>
      <c r="Y1263">
        <v>-8.5923307914071643</v>
      </c>
      <c r="Z1263">
        <v>-8.6325426965560723</v>
      </c>
      <c r="AA1263">
        <v>4.6581762248279791E-3</v>
      </c>
      <c r="AB1263">
        <v>-2.3368760719970694</v>
      </c>
      <c r="AC1263">
        <v>2.3233911963589202E-3</v>
      </c>
      <c r="AD1263">
        <v>0.71660092108895201</v>
      </c>
      <c r="AE1263">
        <v>0.6713025892883292</v>
      </c>
    </row>
    <row r="1264" spans="23:31" x14ac:dyDescent="0.25">
      <c r="W1264">
        <v>65.7</v>
      </c>
      <c r="X1264">
        <v>69.138396369760144</v>
      </c>
      <c r="Y1264">
        <v>-3.4383963697601416</v>
      </c>
      <c r="Z1264">
        <v>-3.4612788123615275</v>
      </c>
      <c r="AA1264">
        <v>6.6109793061619989E-3</v>
      </c>
      <c r="AB1264">
        <v>-0.9360673165285931</v>
      </c>
      <c r="AC1264">
        <v>5.3011234802796453E-4</v>
      </c>
      <c r="AD1264">
        <v>0.71660092108895201</v>
      </c>
      <c r="AE1264">
        <v>0.67242671070514481</v>
      </c>
    </row>
    <row r="1265" spans="23:31" x14ac:dyDescent="0.25">
      <c r="W1265">
        <v>65.2</v>
      </c>
      <c r="X1265">
        <v>65.242850914028466</v>
      </c>
      <c r="Y1265">
        <v>-4.2850914028463194E-2</v>
      </c>
      <c r="Z1265">
        <v>-4.3070793545197716E-2</v>
      </c>
      <c r="AA1265">
        <v>5.1050723388492624E-3</v>
      </c>
      <c r="AB1265">
        <v>-1.1656879356380358E-2</v>
      </c>
      <c r="AC1265">
        <v>6.3386475183718837E-8</v>
      </c>
      <c r="AD1265">
        <v>0.71660092108895201</v>
      </c>
      <c r="AE1265">
        <v>0.67597530074210466</v>
      </c>
    </row>
    <row r="1266" spans="23:31" x14ac:dyDescent="0.25">
      <c r="W1266">
        <v>64.599999999999994</v>
      </c>
      <c r="X1266">
        <v>65.318524813684249</v>
      </c>
      <c r="Y1266">
        <v>-0.71852481368425458</v>
      </c>
      <c r="Z1266">
        <v>-0.72091120204997594</v>
      </c>
      <c r="AA1266">
        <v>3.3102389849577066E-3</v>
      </c>
      <c r="AB1266">
        <v>-0.1952866665952176</v>
      </c>
      <c r="AC1266">
        <v>1.1514679436884255E-5</v>
      </c>
      <c r="AD1266">
        <v>0.71660092108895201</v>
      </c>
      <c r="AE1266">
        <v>0.67847066048578974</v>
      </c>
    </row>
    <row r="1267" spans="23:31" x14ac:dyDescent="0.25">
      <c r="W1267">
        <v>63.8</v>
      </c>
      <c r="X1267">
        <v>63.691269510175097</v>
      </c>
      <c r="Y1267">
        <v>0.10873048982490019</v>
      </c>
      <c r="Z1267">
        <v>0.10926970069647979</v>
      </c>
      <c r="AA1267">
        <v>4.9346787640255681E-3</v>
      </c>
      <c r="AB1267">
        <v>2.957579102952955E-2</v>
      </c>
      <c r="AC1267">
        <v>3.9435499697652369E-7</v>
      </c>
      <c r="AD1267">
        <v>0.72844171022016913</v>
      </c>
      <c r="AE1267">
        <v>0.68001702407945674</v>
      </c>
    </row>
    <row r="1268" spans="23:31" x14ac:dyDescent="0.25">
      <c r="W1268">
        <v>62.8</v>
      </c>
      <c r="X1268">
        <v>67.015235178878811</v>
      </c>
      <c r="Y1268">
        <v>-4.2152351788788138</v>
      </c>
      <c r="Z1268">
        <v>-4.2474839117116261</v>
      </c>
      <c r="AA1268">
        <v>7.5924320146094461E-3</v>
      </c>
      <c r="AB1268">
        <v>-1.1481208301222603</v>
      </c>
      <c r="AC1268">
        <v>9.1679735526158936E-4</v>
      </c>
      <c r="AD1268">
        <v>0.72844171022016913</v>
      </c>
      <c r="AE1268">
        <v>0.68040200292264685</v>
      </c>
    </row>
    <row r="1269" spans="23:31" x14ac:dyDescent="0.25">
      <c r="W1269">
        <v>61</v>
      </c>
      <c r="X1269">
        <v>62.132678413566289</v>
      </c>
      <c r="Y1269">
        <v>-1.1326784135662891</v>
      </c>
      <c r="Z1269">
        <v>-1.1372810280899657</v>
      </c>
      <c r="AA1269">
        <v>4.0470335915213582E-3</v>
      </c>
      <c r="AB1269">
        <v>-0.30796263659974399</v>
      </c>
      <c r="AC1269">
        <v>3.5034937965304659E-5</v>
      </c>
      <c r="AD1269">
        <v>0.72844171022016913</v>
      </c>
      <c r="AE1269">
        <v>0.6806253299815177</v>
      </c>
    </row>
    <row r="1270" spans="23:31" x14ac:dyDescent="0.25">
      <c r="W1270">
        <v>68</v>
      </c>
      <c r="X1270">
        <v>62.001494706123083</v>
      </c>
      <c r="Y1270">
        <v>5.9985052938769172</v>
      </c>
      <c r="Z1270">
        <v>6.0213217330387394</v>
      </c>
      <c r="AA1270">
        <v>3.7892742114455512E-3</v>
      </c>
      <c r="AB1270">
        <v>1.6307157277290745</v>
      </c>
      <c r="AC1270">
        <v>9.1953582816636423E-4</v>
      </c>
      <c r="AD1270">
        <v>0.72844171022016913</v>
      </c>
      <c r="AE1270">
        <v>0.68131823982539197</v>
      </c>
    </row>
    <row r="1271" spans="23:31" x14ac:dyDescent="0.25">
      <c r="W1271">
        <v>59.6</v>
      </c>
      <c r="X1271">
        <v>60.768242689989599</v>
      </c>
      <c r="Y1271">
        <v>-1.1682426899895972</v>
      </c>
      <c r="Z1271">
        <v>-1.1736600210463664</v>
      </c>
      <c r="AA1271">
        <v>4.6157583624089936E-3</v>
      </c>
      <c r="AB1271">
        <v>-0.31772289550804506</v>
      </c>
      <c r="AC1271">
        <v>4.2555592599579971E-5</v>
      </c>
      <c r="AD1271">
        <v>0.72844171022016913</v>
      </c>
      <c r="AE1271">
        <v>0.68143118885665244</v>
      </c>
    </row>
    <row r="1272" spans="23:31" x14ac:dyDescent="0.25">
      <c r="W1272">
        <v>57.6</v>
      </c>
      <c r="X1272">
        <v>58.216978606803806</v>
      </c>
      <c r="Y1272">
        <v>-0.61697860680380501</v>
      </c>
      <c r="Z1272">
        <v>-0.62141971747141866</v>
      </c>
      <c r="AA1272">
        <v>7.1467166920365782E-3</v>
      </c>
      <c r="AB1272">
        <v>-0.16801125943983145</v>
      </c>
      <c r="AC1272">
        <v>1.8471645259047515E-5</v>
      </c>
      <c r="AD1272">
        <v>0.72844171022016913</v>
      </c>
      <c r="AE1272">
        <v>0.68167027891393628</v>
      </c>
    </row>
    <row r="1273" spans="23:31" x14ac:dyDescent="0.25">
      <c r="W1273">
        <v>55.3</v>
      </c>
      <c r="X1273">
        <v>62.717786802883936</v>
      </c>
      <c r="Y1273">
        <v>-7.4177868028839384</v>
      </c>
      <c r="Z1273">
        <v>-7.4867410399912444</v>
      </c>
      <c r="AA1273">
        <v>9.2101806031461789E-3</v>
      </c>
      <c r="AB1273">
        <v>-2.0220616813961851</v>
      </c>
      <c r="AC1273">
        <v>3.455275846541107E-3</v>
      </c>
      <c r="AD1273">
        <v>0.72844171022016913</v>
      </c>
      <c r="AE1273">
        <v>0.68291381074906643</v>
      </c>
    </row>
    <row r="1274" spans="23:31" x14ac:dyDescent="0.25">
      <c r="W1274">
        <v>53.4</v>
      </c>
      <c r="X1274">
        <v>55.023017932456447</v>
      </c>
      <c r="Y1274">
        <v>-1.6230179324564489</v>
      </c>
      <c r="Z1274">
        <v>-1.6317597858506829</v>
      </c>
      <c r="AA1274">
        <v>5.3573163587153595E-3</v>
      </c>
      <c r="AB1274">
        <v>-0.44157104939734648</v>
      </c>
      <c r="AC1274">
        <v>9.5474787326860487E-5</v>
      </c>
      <c r="AD1274">
        <v>0.72844171022016913</v>
      </c>
      <c r="AE1274">
        <v>0.68610979539757933</v>
      </c>
    </row>
    <row r="1275" spans="23:31" x14ac:dyDescent="0.25">
      <c r="W1275">
        <v>52</v>
      </c>
      <c r="X1275">
        <v>60.635808451468712</v>
      </c>
      <c r="Y1275">
        <v>-8.6358084514687121</v>
      </c>
      <c r="Z1275">
        <v>-8.7289341234903333</v>
      </c>
      <c r="AA1275">
        <v>1.0668618952114076E-2</v>
      </c>
      <c r="AB1275">
        <v>-2.3558244694235042</v>
      </c>
      <c r="AC1275">
        <v>5.4407602709534795E-3</v>
      </c>
      <c r="AD1275">
        <v>0.72844171022016913</v>
      </c>
      <c r="AE1275">
        <v>0.68978046558679973</v>
      </c>
    </row>
    <row r="1276" spans="23:31" x14ac:dyDescent="0.25">
      <c r="W1276">
        <v>57</v>
      </c>
      <c r="X1276">
        <v>53.023177485662366</v>
      </c>
      <c r="Y1276">
        <v>3.9768225143376341</v>
      </c>
      <c r="Z1276">
        <v>4.0077125610821085</v>
      </c>
      <c r="AA1276">
        <v>7.7076502552696456E-3</v>
      </c>
      <c r="AB1276">
        <v>1.0832462825907172</v>
      </c>
      <c r="AC1276">
        <v>8.2859839197835174E-4</v>
      </c>
      <c r="AD1276">
        <v>0.72844171022016913</v>
      </c>
      <c r="AE1276">
        <v>0.69059499382741341</v>
      </c>
    </row>
    <row r="1277" spans="23:31" x14ac:dyDescent="0.25">
      <c r="W1277">
        <v>73.8</v>
      </c>
      <c r="X1277">
        <v>73.800255693226248</v>
      </c>
      <c r="Y1277">
        <v>-2.5569322625074165E-4</v>
      </c>
      <c r="Z1277">
        <v>-2.5719357847719948E-4</v>
      </c>
      <c r="AA1277">
        <v>5.8335524136027645E-3</v>
      </c>
      <c r="AB1277">
        <v>-6.9582574305635531E-5</v>
      </c>
      <c r="AC1277">
        <v>2.582749590198986E-12</v>
      </c>
      <c r="AD1277">
        <v>0.74840704313415274</v>
      </c>
      <c r="AE1277">
        <v>0.69280876330099284</v>
      </c>
    </row>
    <row r="1278" spans="23:31" x14ac:dyDescent="0.25">
      <c r="W1278">
        <v>73.599999999999994</v>
      </c>
      <c r="X1278">
        <v>73.798430683872439</v>
      </c>
      <c r="Y1278">
        <v>-0.198430683872445</v>
      </c>
      <c r="Z1278">
        <v>-0.19951860430278145</v>
      </c>
      <c r="AA1278">
        <v>5.4527267476432058E-3</v>
      </c>
      <c r="AB1278">
        <v>-5.3989205148593594E-2</v>
      </c>
      <c r="AC1278">
        <v>1.4528122247158591E-6</v>
      </c>
      <c r="AD1278">
        <v>0.74840704313415274</v>
      </c>
      <c r="AE1278">
        <v>0.69376812985573233</v>
      </c>
    </row>
    <row r="1279" spans="23:31" x14ac:dyDescent="0.25">
      <c r="W1279">
        <v>73.2</v>
      </c>
      <c r="X1279">
        <v>73.39203409043985</v>
      </c>
      <c r="Y1279">
        <v>-0.1920340904398472</v>
      </c>
      <c r="Z1279">
        <v>-0.19310164912259609</v>
      </c>
      <c r="AA1279">
        <v>5.5284804018711524E-3</v>
      </c>
      <c r="AB1279">
        <v>-5.2250804037299599E-2</v>
      </c>
      <c r="AC1279">
        <v>1.3797699899048931E-6</v>
      </c>
      <c r="AD1279">
        <v>0.74840704313415274</v>
      </c>
      <c r="AE1279">
        <v>0.69566689589390673</v>
      </c>
    </row>
    <row r="1280" spans="23:31" x14ac:dyDescent="0.25">
      <c r="W1280">
        <v>73</v>
      </c>
      <c r="X1280">
        <v>73.16007283769153</v>
      </c>
      <c r="Y1280">
        <v>-0.16007283769152991</v>
      </c>
      <c r="Z1280">
        <v>-0.16074458315969764</v>
      </c>
      <c r="AA1280">
        <v>4.1789617725004257E-3</v>
      </c>
      <c r="AB1280">
        <v>-4.3524903350078803E-2</v>
      </c>
      <c r="AC1280">
        <v>7.227199562132461E-7</v>
      </c>
      <c r="AD1280">
        <v>0.74840704313415274</v>
      </c>
      <c r="AE1280">
        <v>0.69584981332797335</v>
      </c>
    </row>
    <row r="1281" spans="23:31" x14ac:dyDescent="0.25">
      <c r="W1281">
        <v>72.599999999999994</v>
      </c>
      <c r="X1281">
        <v>72.813735856283415</v>
      </c>
      <c r="Y1281">
        <v>-0.21373585628342084</v>
      </c>
      <c r="Z1281">
        <v>-0.21460734272170612</v>
      </c>
      <c r="AA1281">
        <v>4.0608416619312337E-3</v>
      </c>
      <c r="AB1281">
        <v>-5.8112800016207541E-2</v>
      </c>
      <c r="AC1281">
        <v>1.2517977459722295E-6</v>
      </c>
      <c r="AD1281">
        <v>0.74840704313415274</v>
      </c>
      <c r="AE1281">
        <v>0.69690653121736212</v>
      </c>
    </row>
    <row r="1282" spans="23:31" x14ac:dyDescent="0.25">
      <c r="W1282">
        <v>76</v>
      </c>
      <c r="X1282">
        <v>71.828859522767672</v>
      </c>
      <c r="Y1282">
        <v>4.1711404772323277</v>
      </c>
      <c r="Z1282">
        <v>4.1939917800157787</v>
      </c>
      <c r="AA1282">
        <v>5.4485807273947917E-3</v>
      </c>
      <c r="AB1282">
        <v>1.1348854176247336</v>
      </c>
      <c r="AC1282">
        <v>6.4145692002858098E-4</v>
      </c>
      <c r="AD1282">
        <v>0.74840704313415274</v>
      </c>
      <c r="AE1282">
        <v>0.69790197525977837</v>
      </c>
    </row>
    <row r="1283" spans="23:31" x14ac:dyDescent="0.25">
      <c r="W1283">
        <v>72.5</v>
      </c>
      <c r="X1283">
        <v>71.586932774689103</v>
      </c>
      <c r="Y1283">
        <v>0.9130672253108969</v>
      </c>
      <c r="Z1283">
        <v>0.92097505680136749</v>
      </c>
      <c r="AA1283">
        <v>8.5863687969284595E-3</v>
      </c>
      <c r="AB1283">
        <v>0.2488204843289645</v>
      </c>
      <c r="AC1283">
        <v>4.8745466312662598E-5</v>
      </c>
      <c r="AD1283">
        <v>0.74840704313415274</v>
      </c>
      <c r="AE1283">
        <v>0.69794006554487054</v>
      </c>
    </row>
    <row r="1284" spans="23:31" x14ac:dyDescent="0.25">
      <c r="W1284">
        <v>72.2</v>
      </c>
      <c r="X1284">
        <v>69.716117962104491</v>
      </c>
      <c r="Y1284">
        <v>2.483882037895512</v>
      </c>
      <c r="Z1284">
        <v>2.4986708392130055</v>
      </c>
      <c r="AA1284">
        <v>5.918667271175744E-3</v>
      </c>
      <c r="AB1284">
        <v>0.67597530074210466</v>
      </c>
      <c r="AC1284">
        <v>2.473266856431992E-4</v>
      </c>
      <c r="AD1284">
        <v>0.74840704313415274</v>
      </c>
      <c r="AE1284">
        <v>0.69904062672776202</v>
      </c>
    </row>
    <row r="1285" spans="23:31" x14ac:dyDescent="0.25">
      <c r="W1285">
        <v>72</v>
      </c>
      <c r="X1285">
        <v>69.068994667023389</v>
      </c>
      <c r="Y1285">
        <v>2.9310053329766106</v>
      </c>
      <c r="Z1285">
        <v>2.9540251496651848</v>
      </c>
      <c r="AA1285">
        <v>7.7926948899465975E-3</v>
      </c>
      <c r="AB1285">
        <v>0.79841046100600366</v>
      </c>
      <c r="AC1285">
        <v>4.5513999905593788E-4</v>
      </c>
      <c r="AD1285">
        <v>0.74840704313415274</v>
      </c>
      <c r="AE1285">
        <v>0.69924157649323915</v>
      </c>
    </row>
    <row r="1286" spans="23:31" x14ac:dyDescent="0.25">
      <c r="W1286">
        <v>71.599999999999994</v>
      </c>
      <c r="X1286">
        <v>74.05754247753697</v>
      </c>
      <c r="Y1286">
        <v>-2.4575424775369754</v>
      </c>
      <c r="Z1286">
        <v>-2.4720289651680361</v>
      </c>
      <c r="AA1286">
        <v>5.8601609589452874E-3</v>
      </c>
      <c r="AB1286">
        <v>-0.66878744898490261</v>
      </c>
      <c r="AC1286">
        <v>2.3968762382162406E-4</v>
      </c>
      <c r="AD1286">
        <v>0.74840704313415274</v>
      </c>
      <c r="AE1286">
        <v>0.70036062034884272</v>
      </c>
    </row>
    <row r="1287" spans="23:31" x14ac:dyDescent="0.25">
      <c r="W1287">
        <v>71.400000000000006</v>
      </c>
      <c r="X1287">
        <v>71.27461662725436</v>
      </c>
      <c r="Y1287">
        <v>0.12538337274564526</v>
      </c>
      <c r="Z1287">
        <v>0.12593294142278921</v>
      </c>
      <c r="AA1287">
        <v>4.3639787249303381E-3</v>
      </c>
      <c r="AB1287">
        <v>3.4095767244730818E-2</v>
      </c>
      <c r="AC1287">
        <v>4.6322316992420352E-7</v>
      </c>
      <c r="AD1287">
        <v>0.74840704313415274</v>
      </c>
      <c r="AE1287">
        <v>0.70046954988764432</v>
      </c>
    </row>
    <row r="1288" spans="23:31" x14ac:dyDescent="0.25">
      <c r="W1288">
        <v>79</v>
      </c>
      <c r="X1288">
        <v>71.407442141378922</v>
      </c>
      <c r="Y1288">
        <v>7.5925578586210776</v>
      </c>
      <c r="Z1288">
        <v>7.6156852512244342</v>
      </c>
      <c r="AA1288">
        <v>3.0368104563713492E-3</v>
      </c>
      <c r="AB1288">
        <v>2.0632857011993484</v>
      </c>
      <c r="AC1288">
        <v>1.1788664677249349E-3</v>
      </c>
      <c r="AD1288">
        <v>0.74840704313415274</v>
      </c>
      <c r="AE1288">
        <v>0.70128720756614027</v>
      </c>
    </row>
    <row r="1289" spans="23:31" x14ac:dyDescent="0.25">
      <c r="W1289">
        <v>76</v>
      </c>
      <c r="X1289">
        <v>71.296737231495655</v>
      </c>
      <c r="Y1289">
        <v>4.7032627685043451</v>
      </c>
      <c r="Z1289">
        <v>4.7171725306740058</v>
      </c>
      <c r="AA1289">
        <v>2.9487499300079709E-3</v>
      </c>
      <c r="AB1289">
        <v>1.2780602333804705</v>
      </c>
      <c r="AC1289">
        <v>4.391677295080466E-4</v>
      </c>
      <c r="AD1289">
        <v>0.77276680816182786</v>
      </c>
      <c r="AE1289">
        <v>0.70166499954111883</v>
      </c>
    </row>
    <row r="1290" spans="23:31" x14ac:dyDescent="0.25">
      <c r="W1290">
        <v>75</v>
      </c>
      <c r="X1290">
        <v>71.034646519309945</v>
      </c>
      <c r="Y1290">
        <v>3.9653534806900552</v>
      </c>
      <c r="Z1290">
        <v>3.9765687143474935</v>
      </c>
      <c r="AA1290">
        <v>2.8203294003116353E-3</v>
      </c>
      <c r="AB1290">
        <v>1.0774720653350645</v>
      </c>
      <c r="AC1290">
        <v>2.985009876058647E-4</v>
      </c>
      <c r="AD1290">
        <v>0.77276680816182786</v>
      </c>
      <c r="AE1290">
        <v>0.70206187628459049</v>
      </c>
    </row>
    <row r="1291" spans="23:31" x14ac:dyDescent="0.25">
      <c r="W1291">
        <v>72</v>
      </c>
      <c r="X1291">
        <v>74.069816191872633</v>
      </c>
      <c r="Y1291">
        <v>-2.0698161918726328</v>
      </c>
      <c r="Z1291">
        <v>-2.077551236429656</v>
      </c>
      <c r="AA1291">
        <v>3.7231546550524561E-3</v>
      </c>
      <c r="AB1291">
        <v>-0.56266847277919141</v>
      </c>
      <c r="AC1291">
        <v>1.0755819805472063E-4</v>
      </c>
      <c r="AD1291">
        <v>0.77276680816182786</v>
      </c>
      <c r="AE1291">
        <v>0.70226140331119458</v>
      </c>
    </row>
    <row r="1292" spans="23:31" x14ac:dyDescent="0.25">
      <c r="W1292">
        <v>67.3</v>
      </c>
      <c r="X1292">
        <v>67.37427784702335</v>
      </c>
      <c r="Y1292">
        <v>-7.4277847023353161E-2</v>
      </c>
      <c r="Z1292">
        <v>-7.4677353497463628E-2</v>
      </c>
      <c r="AA1292">
        <v>5.3497674382623293E-3</v>
      </c>
      <c r="AB1292">
        <v>-2.0208539743627754E-2</v>
      </c>
      <c r="AC1292">
        <v>1.9968327687484744E-7</v>
      </c>
      <c r="AD1292">
        <v>0.77276680816182786</v>
      </c>
      <c r="AE1292">
        <v>0.70231159068656412</v>
      </c>
    </row>
    <row r="1293" spans="23:31" x14ac:dyDescent="0.25">
      <c r="W1293">
        <v>67.099999999999994</v>
      </c>
      <c r="X1293">
        <v>68.353655602497511</v>
      </c>
      <c r="Y1293">
        <v>-1.253655602497517</v>
      </c>
      <c r="Z1293">
        <v>-1.2590436151007509</v>
      </c>
      <c r="AA1293">
        <v>4.2794487328421237E-3</v>
      </c>
      <c r="AB1293">
        <v>-0.34089476378821237</v>
      </c>
      <c r="AC1293">
        <v>4.5404440956347378E-5</v>
      </c>
      <c r="AD1293">
        <v>0.77276680816182786</v>
      </c>
      <c r="AE1293">
        <v>0.70312018138843035</v>
      </c>
    </row>
    <row r="1294" spans="23:31" x14ac:dyDescent="0.25">
      <c r="W1294">
        <v>66.900000000000006</v>
      </c>
      <c r="X1294">
        <v>67.716467871997409</v>
      </c>
      <c r="Y1294">
        <v>-0.81646787199740345</v>
      </c>
      <c r="Z1294">
        <v>-0.81905668905019979</v>
      </c>
      <c r="AA1294">
        <v>3.1607300049042216E-3</v>
      </c>
      <c r="AB1294">
        <v>-0.22188980613533768</v>
      </c>
      <c r="AC1294">
        <v>1.4192022043111579E-5</v>
      </c>
      <c r="AD1294">
        <v>0.77276680816182786</v>
      </c>
      <c r="AE1294">
        <v>0.70462715244993546</v>
      </c>
    </row>
    <row r="1295" spans="23:31" x14ac:dyDescent="0.25">
      <c r="W1295">
        <v>66.599999999999994</v>
      </c>
      <c r="X1295">
        <v>66.601220553686005</v>
      </c>
      <c r="Y1295">
        <v>-1.2205536860108168E-3</v>
      </c>
      <c r="Z1295">
        <v>-1.2229393732638982E-3</v>
      </c>
      <c r="AA1295">
        <v>1.9507812915565428E-3</v>
      </c>
      <c r="AB1295">
        <v>-3.3150625488913196E-4</v>
      </c>
      <c r="AC1295">
        <v>1.9527533523139897E-11</v>
      </c>
      <c r="AD1295">
        <v>0.77276680816182786</v>
      </c>
      <c r="AE1295">
        <v>0.71103288318725189</v>
      </c>
    </row>
    <row r="1296" spans="23:31" x14ac:dyDescent="0.25">
      <c r="W1296">
        <v>66.2</v>
      </c>
      <c r="X1296">
        <v>69.745992814920768</v>
      </c>
      <c r="Y1296">
        <v>-3.5459928149207656</v>
      </c>
      <c r="Z1296">
        <v>-3.5599665997464172</v>
      </c>
      <c r="AA1296">
        <v>3.9252572837764725E-3</v>
      </c>
      <c r="AB1296">
        <v>-0.96405698882398982</v>
      </c>
      <c r="AC1296">
        <v>3.3295759796643151E-4</v>
      </c>
      <c r="AD1296">
        <v>0.78719041678006285</v>
      </c>
      <c r="AE1296">
        <v>0.7149165921530708</v>
      </c>
    </row>
    <row r="1297" spans="23:31" x14ac:dyDescent="0.25">
      <c r="W1297">
        <v>65.8</v>
      </c>
      <c r="X1297">
        <v>69.254169681021338</v>
      </c>
      <c r="Y1297">
        <v>-3.4541696810213409</v>
      </c>
      <c r="Z1297">
        <v>-3.4679355310358488</v>
      </c>
      <c r="AA1297">
        <v>3.9694653753833027E-3</v>
      </c>
      <c r="AB1297">
        <v>-0.93911366851054823</v>
      </c>
      <c r="AC1297">
        <v>3.1952364633960336E-4</v>
      </c>
      <c r="AD1297">
        <v>0.78719041678006285</v>
      </c>
      <c r="AE1297">
        <v>0.71693324701466021</v>
      </c>
    </row>
    <row r="1298" spans="23:31" x14ac:dyDescent="0.25">
      <c r="W1298">
        <v>65.400000000000006</v>
      </c>
      <c r="X1298">
        <v>65.917955922324154</v>
      </c>
      <c r="Y1298">
        <v>-0.51795592232414833</v>
      </c>
      <c r="Z1298">
        <v>-0.51891816807483337</v>
      </c>
      <c r="AA1298">
        <v>1.8543304318207506E-3</v>
      </c>
      <c r="AB1298">
        <v>-0.14067167533359018</v>
      </c>
      <c r="AC1298">
        <v>3.3420568489819453E-6</v>
      </c>
      <c r="AD1298">
        <v>0.78719041678006285</v>
      </c>
      <c r="AE1298">
        <v>0.71728269521554611</v>
      </c>
    </row>
    <row r="1299" spans="23:31" x14ac:dyDescent="0.25">
      <c r="W1299">
        <v>65.099999999999994</v>
      </c>
      <c r="X1299">
        <v>65.685868300399505</v>
      </c>
      <c r="Y1299">
        <v>-0.5858683003995111</v>
      </c>
      <c r="Z1299">
        <v>-0.58712838418911417</v>
      </c>
      <c r="AA1299">
        <v>2.1461810117494565E-3</v>
      </c>
      <c r="AB1299">
        <v>-0.15913926884213267</v>
      </c>
      <c r="AC1299">
        <v>4.9517813061876088E-6</v>
      </c>
      <c r="AD1299">
        <v>0.78719041678006285</v>
      </c>
      <c r="AE1299">
        <v>0.71742159737544287</v>
      </c>
    </row>
    <row r="1300" spans="23:31" x14ac:dyDescent="0.25">
      <c r="W1300">
        <v>64.7</v>
      </c>
      <c r="X1300">
        <v>68.940343623067179</v>
      </c>
      <c r="Y1300">
        <v>-4.2403436230671758</v>
      </c>
      <c r="Z1300">
        <v>-4.2613164621264303</v>
      </c>
      <c r="AA1300">
        <v>4.9216807166646741E-3</v>
      </c>
      <c r="AB1300">
        <v>-1.1534087449144523</v>
      </c>
      <c r="AC1300">
        <v>5.9817735339309677E-4</v>
      </c>
      <c r="AD1300">
        <v>0.78719041678006285</v>
      </c>
      <c r="AE1300">
        <v>0.7199302680084152</v>
      </c>
    </row>
    <row r="1301" spans="23:31" x14ac:dyDescent="0.25">
      <c r="W1301">
        <v>64.3</v>
      </c>
      <c r="X1301">
        <v>64.407440369977721</v>
      </c>
      <c r="Y1301">
        <v>-0.10744036997772355</v>
      </c>
      <c r="Z1301">
        <v>-0.10793508720661293</v>
      </c>
      <c r="AA1301">
        <v>4.5834699511793624E-3</v>
      </c>
      <c r="AB1301">
        <v>-2.9219709304673217E-2</v>
      </c>
      <c r="AC1301">
        <v>3.5739513538990964E-7</v>
      </c>
      <c r="AD1301">
        <v>0.78719041678006285</v>
      </c>
      <c r="AE1301">
        <v>0.72244011702129129</v>
      </c>
    </row>
    <row r="1302" spans="23:31" x14ac:dyDescent="0.25">
      <c r="W1302">
        <v>63.8</v>
      </c>
      <c r="X1302">
        <v>64.64356547590711</v>
      </c>
      <c r="Y1302">
        <v>-0.84356547590711273</v>
      </c>
      <c r="Z1302">
        <v>-0.84768868662592922</v>
      </c>
      <c r="AA1302">
        <v>4.8640624605032698E-3</v>
      </c>
      <c r="AB1302">
        <v>-0.22945018500986522</v>
      </c>
      <c r="AC1302">
        <v>2.3393805357819785E-5</v>
      </c>
      <c r="AD1302">
        <v>0.78719041678006285</v>
      </c>
      <c r="AE1302">
        <v>0.72415663853390011</v>
      </c>
    </row>
    <row r="1303" spans="23:31" x14ac:dyDescent="0.25">
      <c r="W1303">
        <v>63.4</v>
      </c>
      <c r="X1303">
        <v>64.462201678081001</v>
      </c>
      <c r="Y1303">
        <v>-1.0622016780810029</v>
      </c>
      <c r="Z1303">
        <v>-1.0693485564416605</v>
      </c>
      <c r="AA1303">
        <v>6.6833945934724973E-3</v>
      </c>
      <c r="AB1303">
        <v>-0.28918379675648226</v>
      </c>
      <c r="AC1303">
        <v>5.1152237209839432E-5</v>
      </c>
      <c r="AD1303">
        <v>0.80177968430189828</v>
      </c>
      <c r="AE1303">
        <v>0.72719433559205937</v>
      </c>
    </row>
    <row r="1304" spans="23:31" x14ac:dyDescent="0.25">
      <c r="W1304">
        <v>66.400000000000006</v>
      </c>
      <c r="X1304">
        <v>64.858682678174247</v>
      </c>
      <c r="Y1304">
        <v>1.5413173218257583</v>
      </c>
      <c r="Z1304">
        <v>1.5443933299592771</v>
      </c>
      <c r="AA1304">
        <v>1.9917258601475445E-3</v>
      </c>
      <c r="AB1304">
        <v>0.41863526366950876</v>
      </c>
      <c r="AC1304">
        <v>3.1796136422698115E-5</v>
      </c>
      <c r="AD1304">
        <v>0.80177968430189828</v>
      </c>
      <c r="AE1304">
        <v>0.73103698722840915</v>
      </c>
    </row>
    <row r="1305" spans="23:31" x14ac:dyDescent="0.25">
      <c r="W1305">
        <v>66</v>
      </c>
      <c r="X1305">
        <v>64.352492225522425</v>
      </c>
      <c r="Y1305">
        <v>1.6475077744775746</v>
      </c>
      <c r="Z1305">
        <v>1.65140446967564</v>
      </c>
      <c r="AA1305">
        <v>2.3596249553787477E-3</v>
      </c>
      <c r="AB1305">
        <v>0.44756001963181408</v>
      </c>
      <c r="AC1305">
        <v>4.3070394230756424E-5</v>
      </c>
      <c r="AD1305">
        <v>0.80177968430189828</v>
      </c>
      <c r="AE1305">
        <v>0.73315943669057071</v>
      </c>
    </row>
    <row r="1306" spans="23:31" x14ac:dyDescent="0.25">
      <c r="W1306">
        <v>65.599999999999994</v>
      </c>
      <c r="X1306">
        <v>67.280041510455291</v>
      </c>
      <c r="Y1306">
        <v>-1.6800415104552968</v>
      </c>
      <c r="Z1306">
        <v>-1.6890581801639826</v>
      </c>
      <c r="AA1306">
        <v>5.3382824905439828E-3</v>
      </c>
      <c r="AB1306">
        <v>-0.45708096000125858</v>
      </c>
      <c r="AC1306">
        <v>1.0193415459465625E-4</v>
      </c>
      <c r="AD1306">
        <v>0.80177968430189828</v>
      </c>
      <c r="AE1306">
        <v>0.73514394059599475</v>
      </c>
    </row>
    <row r="1307" spans="23:31" x14ac:dyDescent="0.25">
      <c r="W1307">
        <v>64.900000000000006</v>
      </c>
      <c r="X1307">
        <v>66.391721009879888</v>
      </c>
      <c r="Y1307">
        <v>-1.4917210098798819</v>
      </c>
      <c r="Z1307">
        <v>-1.499474783286729</v>
      </c>
      <c r="AA1307">
        <v>5.170992865817613E-3</v>
      </c>
      <c r="AB1307">
        <v>-0.4058113659694722</v>
      </c>
      <c r="AC1307">
        <v>7.7818208194376824E-5</v>
      </c>
      <c r="AD1307">
        <v>0.80177968430189828</v>
      </c>
      <c r="AE1307">
        <v>0.73703409440501544</v>
      </c>
    </row>
    <row r="1308" spans="23:31" x14ac:dyDescent="0.25">
      <c r="W1308">
        <v>64.3</v>
      </c>
      <c r="X1308">
        <v>62.706603584634287</v>
      </c>
      <c r="Y1308">
        <v>1.5933964153657101</v>
      </c>
      <c r="Z1308">
        <v>1.5981274517432027</v>
      </c>
      <c r="AA1308">
        <v>2.9603623743083493E-3</v>
      </c>
      <c r="AB1308">
        <v>0.43299057567433646</v>
      </c>
      <c r="AC1308">
        <v>5.0605375756025227E-5</v>
      </c>
      <c r="AD1308">
        <v>0.80177968430189828</v>
      </c>
      <c r="AE1308">
        <v>0.74203416907519171</v>
      </c>
    </row>
    <row r="1309" spans="23:31" x14ac:dyDescent="0.25">
      <c r="W1309">
        <v>63.5</v>
      </c>
      <c r="X1309">
        <v>62.224948465938489</v>
      </c>
      <c r="Y1309">
        <v>1.2750515340615109</v>
      </c>
      <c r="Z1309">
        <v>1.2788914783074929</v>
      </c>
      <c r="AA1309">
        <v>3.0025567541247409E-3</v>
      </c>
      <c r="AB1309">
        <v>0.34649066285444136</v>
      </c>
      <c r="AC1309">
        <v>3.2869081413785042E-5</v>
      </c>
      <c r="AD1309">
        <v>0.81442193874053515</v>
      </c>
      <c r="AE1309">
        <v>0.7420941932524534</v>
      </c>
    </row>
    <row r="1310" spans="23:31" x14ac:dyDescent="0.25">
      <c r="W1310">
        <v>62.8</v>
      </c>
      <c r="X1310">
        <v>60.96628478059737</v>
      </c>
      <c r="Y1310">
        <v>1.8337152194026274</v>
      </c>
      <c r="Z1310">
        <v>1.8416337408847241</v>
      </c>
      <c r="AA1310">
        <v>4.2997265451357458E-3</v>
      </c>
      <c r="AB1310">
        <v>0.49862999099122018</v>
      </c>
      <c r="AC1310">
        <v>9.7605955503724385E-5</v>
      </c>
      <c r="AD1310">
        <v>0.81442193874053515</v>
      </c>
      <c r="AE1310">
        <v>0.74500599970780201</v>
      </c>
    </row>
    <row r="1311" spans="23:31" x14ac:dyDescent="0.25">
      <c r="W1311">
        <v>62.1</v>
      </c>
      <c r="X1311">
        <v>64.291423492028429</v>
      </c>
      <c r="Y1311">
        <v>-2.1914234920284272</v>
      </c>
      <c r="Z1311">
        <v>-2.2088438930353291</v>
      </c>
      <c r="AA1311">
        <v>7.8866601038836866E-3</v>
      </c>
      <c r="AB1311">
        <v>-0.59697547313182575</v>
      </c>
      <c r="AC1311">
        <v>2.5754440923846751E-4</v>
      </c>
      <c r="AD1311">
        <v>0.81442193874053515</v>
      </c>
      <c r="AE1311">
        <v>0.74607667344479389</v>
      </c>
    </row>
    <row r="1312" spans="23:31" x14ac:dyDescent="0.25">
      <c r="W1312">
        <v>61.3</v>
      </c>
      <c r="X1312">
        <v>60.819790136403441</v>
      </c>
      <c r="Y1312">
        <v>0.48020986359655637</v>
      </c>
      <c r="Z1312">
        <v>0.48222811084246331</v>
      </c>
      <c r="AA1312">
        <v>4.1852542407326129E-3</v>
      </c>
      <c r="AB1312">
        <v>0.13057277073491866</v>
      </c>
      <c r="AC1312">
        <v>6.5141213821037004E-6</v>
      </c>
      <c r="AD1312">
        <v>0.81442193874053515</v>
      </c>
      <c r="AE1312">
        <v>0.74624248653001179</v>
      </c>
    </row>
    <row r="1313" spans="23:31" x14ac:dyDescent="0.25">
      <c r="W1313">
        <v>65</v>
      </c>
      <c r="X1313">
        <v>60.35994394907577</v>
      </c>
      <c r="Y1313">
        <v>4.6400560509242297</v>
      </c>
      <c r="Z1313">
        <v>4.6598606912942344</v>
      </c>
      <c r="AA1313">
        <v>4.2500498796035268E-3</v>
      </c>
      <c r="AB1313">
        <v>1.2617081260245686</v>
      </c>
      <c r="AC1313">
        <v>6.1768755141575898E-4</v>
      </c>
      <c r="AD1313">
        <v>0.81442193874053515</v>
      </c>
      <c r="AE1313">
        <v>0.74974256804235784</v>
      </c>
    </row>
    <row r="1314" spans="23:31" x14ac:dyDescent="0.25">
      <c r="W1314">
        <v>59.7</v>
      </c>
      <c r="X1314">
        <v>60.065061585166262</v>
      </c>
      <c r="Y1314">
        <v>-0.36506158516625931</v>
      </c>
      <c r="Z1314">
        <v>-0.36678280271720354</v>
      </c>
      <c r="AA1314">
        <v>4.6927433298282325E-3</v>
      </c>
      <c r="AB1314">
        <v>-9.9288367492362556E-2</v>
      </c>
      <c r="AC1314">
        <v>4.2254569906112915E-6</v>
      </c>
      <c r="AD1314">
        <v>0.81442193874053515</v>
      </c>
      <c r="AE1314">
        <v>0.7499027135540649</v>
      </c>
    </row>
    <row r="1315" spans="23:31" x14ac:dyDescent="0.25">
      <c r="W1315">
        <v>75.400000000000006</v>
      </c>
      <c r="X1315">
        <v>74.440897960142919</v>
      </c>
      <c r="Y1315">
        <v>0.9591020398570862</v>
      </c>
      <c r="Z1315">
        <v>0.96457796975083454</v>
      </c>
      <c r="AA1315">
        <v>5.6770215218161207E-3</v>
      </c>
      <c r="AB1315">
        <v>0.26098280631367088</v>
      </c>
      <c r="AC1315">
        <v>3.5352829035457481E-5</v>
      </c>
      <c r="AD1315">
        <v>0.81442193874053515</v>
      </c>
      <c r="AE1315">
        <v>0.75126969724405757</v>
      </c>
    </row>
    <row r="1316" spans="23:31" x14ac:dyDescent="0.25">
      <c r="W1316">
        <v>75.3</v>
      </c>
      <c r="X1316">
        <v>74.620743163653231</v>
      </c>
      <c r="Y1316">
        <v>0.67925683634676659</v>
      </c>
      <c r="Z1316">
        <v>0.68314218639538637</v>
      </c>
      <c r="AA1316">
        <v>5.6874690598851044E-3</v>
      </c>
      <c r="AB1316">
        <v>0.18483464670634406</v>
      </c>
      <c r="AC1316">
        <v>1.776520456359876E-5</v>
      </c>
      <c r="AD1316">
        <v>0.82933781119598415</v>
      </c>
      <c r="AE1316">
        <v>0.75257322167246676</v>
      </c>
    </row>
    <row r="1317" spans="23:31" x14ac:dyDescent="0.25">
      <c r="W1317">
        <v>74.900000000000006</v>
      </c>
      <c r="X1317">
        <v>74.892203164491377</v>
      </c>
      <c r="Y1317">
        <v>7.7968355086284191E-3</v>
      </c>
      <c r="Z1317">
        <v>7.8243102150992172E-3</v>
      </c>
      <c r="AA1317">
        <v>3.511454136949874E-3</v>
      </c>
      <c r="AB1317">
        <v>2.1193029195690849E-3</v>
      </c>
      <c r="AC1317">
        <v>1.4388253375214675E-9</v>
      </c>
      <c r="AD1317">
        <v>0.82933781119598415</v>
      </c>
      <c r="AE1317">
        <v>0.75263833789892998</v>
      </c>
    </row>
    <row r="1318" spans="23:31" x14ac:dyDescent="0.25">
      <c r="W1318">
        <v>74.599999999999994</v>
      </c>
      <c r="X1318">
        <v>74.400854080304683</v>
      </c>
      <c r="Y1318">
        <v>0.19914591969531159</v>
      </c>
      <c r="Z1318">
        <v>0.19985989844853691</v>
      </c>
      <c r="AA1318">
        <v>3.5723962573930932E-3</v>
      </c>
      <c r="AB1318">
        <v>5.4132658666469616E-2</v>
      </c>
      <c r="AC1318">
        <v>9.5508034013138541E-7</v>
      </c>
      <c r="AD1318">
        <v>0.82933781119598415</v>
      </c>
      <c r="AE1318">
        <v>0.7560150809664703</v>
      </c>
    </row>
    <row r="1319" spans="23:31" x14ac:dyDescent="0.25">
      <c r="W1319">
        <v>74.400000000000006</v>
      </c>
      <c r="X1319">
        <v>73.738373542099822</v>
      </c>
      <c r="Y1319">
        <v>0.6616264579001836</v>
      </c>
      <c r="Z1319">
        <v>0.66486859352495742</v>
      </c>
      <c r="AA1319">
        <v>4.8763555029484908E-3</v>
      </c>
      <c r="AB1319">
        <v>0.17996380267250445</v>
      </c>
      <c r="AC1319">
        <v>1.4427661745145066E-5</v>
      </c>
      <c r="AD1319">
        <v>0.82933781119598415</v>
      </c>
      <c r="AE1319">
        <v>0.75840526021348786</v>
      </c>
    </row>
    <row r="1320" spans="23:31" x14ac:dyDescent="0.25">
      <c r="W1320">
        <v>74.099999999999994</v>
      </c>
      <c r="X1320">
        <v>74.303575212749266</v>
      </c>
      <c r="Y1320">
        <v>-0.20357521274927137</v>
      </c>
      <c r="Z1320">
        <v>-0.20434959301542222</v>
      </c>
      <c r="AA1320">
        <v>3.7894876849533118E-3</v>
      </c>
      <c r="AB1320">
        <v>-5.5342676301950451E-2</v>
      </c>
      <c r="AC1320">
        <v>1.0591488747276818E-6</v>
      </c>
      <c r="AD1320">
        <v>0.83794453378675593</v>
      </c>
      <c r="AE1320">
        <v>0.75889095109676086</v>
      </c>
    </row>
    <row r="1321" spans="23:31" x14ac:dyDescent="0.25">
      <c r="W1321">
        <v>74</v>
      </c>
      <c r="X1321">
        <v>73.224032903336877</v>
      </c>
      <c r="Y1321">
        <v>0.77596709666312336</v>
      </c>
      <c r="Z1321">
        <v>0.78032824896325792</v>
      </c>
      <c r="AA1321">
        <v>5.5888689226990269E-3</v>
      </c>
      <c r="AB1321">
        <v>0.21114030170094866</v>
      </c>
      <c r="AC1321">
        <v>2.2777577738210027E-5</v>
      </c>
      <c r="AD1321">
        <v>0.83794453378675593</v>
      </c>
      <c r="AE1321">
        <v>0.76081745840171155</v>
      </c>
    </row>
    <row r="1322" spans="23:31" x14ac:dyDescent="0.25">
      <c r="W1322">
        <v>73.8</v>
      </c>
      <c r="X1322">
        <v>73.423004057367109</v>
      </c>
      <c r="Y1322">
        <v>0.37699594263288816</v>
      </c>
      <c r="Z1322">
        <v>0.37908527438204942</v>
      </c>
      <c r="AA1322">
        <v>5.5115085980746263E-3</v>
      </c>
      <c r="AB1322">
        <v>0.1025764383341677</v>
      </c>
      <c r="AC1322">
        <v>5.3011888178537827E-6</v>
      </c>
      <c r="AD1322">
        <v>0.83794453378675593</v>
      </c>
      <c r="AE1322">
        <v>0.76121828100971101</v>
      </c>
    </row>
    <row r="1323" spans="23:31" x14ac:dyDescent="0.25">
      <c r="W1323">
        <v>73.599999999999994</v>
      </c>
      <c r="X1323">
        <v>73.715728531405404</v>
      </c>
      <c r="Y1323">
        <v>-0.11572853140540929</v>
      </c>
      <c r="Z1323">
        <v>-0.11603655450137751</v>
      </c>
      <c r="AA1323">
        <v>2.6545350065501701E-3</v>
      </c>
      <c r="AB1323">
        <v>-3.1443324185584091E-2</v>
      </c>
      <c r="AC1323">
        <v>2.3922527433835341E-7</v>
      </c>
      <c r="AD1323">
        <v>0.83794453378675593</v>
      </c>
      <c r="AE1323">
        <v>0.76859563742565951</v>
      </c>
    </row>
    <row r="1324" spans="23:31" x14ac:dyDescent="0.25">
      <c r="W1324">
        <v>73</v>
      </c>
      <c r="X1324">
        <v>73.373912869623723</v>
      </c>
      <c r="Y1324">
        <v>-0.37391286962372305</v>
      </c>
      <c r="Z1324">
        <v>-0.3750786409746496</v>
      </c>
      <c r="AA1324">
        <v>3.1080718109959445E-3</v>
      </c>
      <c r="AB1324">
        <v>-0.10161485307639477</v>
      </c>
      <c r="AC1324">
        <v>2.9266087511410231E-6</v>
      </c>
      <c r="AD1324">
        <v>0.83794453378675593</v>
      </c>
      <c r="AE1324">
        <v>0.77125983706982015</v>
      </c>
    </row>
    <row r="1325" spans="23:31" x14ac:dyDescent="0.25">
      <c r="W1325">
        <v>73</v>
      </c>
      <c r="X1325">
        <v>73.10891602003997</v>
      </c>
      <c r="Y1325">
        <v>-0.10891602003997036</v>
      </c>
      <c r="Z1325">
        <v>-0.10912473427625002</v>
      </c>
      <c r="AA1325">
        <v>1.9126207973784166E-3</v>
      </c>
      <c r="AB1325">
        <v>-2.9581371200638744E-2</v>
      </c>
      <c r="AC1325">
        <v>1.5244185579924442E-7</v>
      </c>
      <c r="AD1325">
        <v>0.83794453378675593</v>
      </c>
      <c r="AE1325">
        <v>0.77263011265238901</v>
      </c>
    </row>
    <row r="1326" spans="23:31" x14ac:dyDescent="0.25">
      <c r="W1326">
        <v>73</v>
      </c>
      <c r="X1326">
        <v>75.607523204711612</v>
      </c>
      <c r="Y1326">
        <v>-2.6075232047116117</v>
      </c>
      <c r="Z1326">
        <v>-2.6203531633421591</v>
      </c>
      <c r="AA1326">
        <v>4.8962707813732546E-3</v>
      </c>
      <c r="AB1326">
        <v>-0.70925895051671661</v>
      </c>
      <c r="AC1326">
        <v>2.2501633103373284E-4</v>
      </c>
      <c r="AD1326">
        <v>0.83794453378675593</v>
      </c>
      <c r="AE1326">
        <v>0.77452630983990944</v>
      </c>
    </row>
    <row r="1327" spans="23:31" x14ac:dyDescent="0.25">
      <c r="W1327">
        <v>72.900000000000006</v>
      </c>
      <c r="X1327">
        <v>73.625884387192997</v>
      </c>
      <c r="Y1327">
        <v>-0.7258843871929912</v>
      </c>
      <c r="Z1327">
        <v>-0.72934881135398655</v>
      </c>
      <c r="AA1327">
        <v>4.7500237294755294E-3</v>
      </c>
      <c r="AB1327">
        <v>-0.19742956447859528</v>
      </c>
      <c r="AC1327">
        <v>1.6912012584385153E-5</v>
      </c>
      <c r="AD1327">
        <v>0.83794453378675593</v>
      </c>
      <c r="AE1327">
        <v>0.77462924486736895</v>
      </c>
    </row>
    <row r="1328" spans="23:31" x14ac:dyDescent="0.25">
      <c r="W1328">
        <v>72.7</v>
      </c>
      <c r="X1328">
        <v>72.961210530928383</v>
      </c>
      <c r="Y1328">
        <v>-0.26121053092838054</v>
      </c>
      <c r="Z1328">
        <v>-0.26222449319149632</v>
      </c>
      <c r="AA1328">
        <v>3.866771752585269E-3</v>
      </c>
      <c r="AB1328">
        <v>-7.1013805830499141E-2</v>
      </c>
      <c r="AC1328">
        <v>1.7796065750842354E-6</v>
      </c>
      <c r="AD1328">
        <v>0.83794453378675593</v>
      </c>
      <c r="AE1328">
        <v>0.78171854101985216</v>
      </c>
    </row>
    <row r="1329" spans="23:31" x14ac:dyDescent="0.25">
      <c r="W1329">
        <v>72.599999999999994</v>
      </c>
      <c r="X1329">
        <v>72.028100249170706</v>
      </c>
      <c r="Y1329">
        <v>0.57189975082928868</v>
      </c>
      <c r="Z1329">
        <v>0.57389490846279045</v>
      </c>
      <c r="AA1329">
        <v>3.4765208822655387E-3</v>
      </c>
      <c r="AB1329">
        <v>0.15544865172484504</v>
      </c>
      <c r="AC1329">
        <v>7.6637007956370404E-6</v>
      </c>
      <c r="AD1329">
        <v>0.83794453378675593</v>
      </c>
      <c r="AE1329">
        <v>0.78223392467239483</v>
      </c>
    </row>
    <row r="1330" spans="23:31" x14ac:dyDescent="0.25">
      <c r="W1330">
        <v>72.400000000000006</v>
      </c>
      <c r="X1330">
        <v>74.558623283519069</v>
      </c>
      <c r="Y1330">
        <v>-2.1586232835190629</v>
      </c>
      <c r="Z1330">
        <v>-2.1662499627451979</v>
      </c>
      <c r="AA1330">
        <v>3.5206829116205961E-3</v>
      </c>
      <c r="AB1330">
        <v>-0.58675058698811478</v>
      </c>
      <c r="AC1330">
        <v>1.1057908799069756E-4</v>
      </c>
      <c r="AD1330">
        <v>0.83794453378675593</v>
      </c>
      <c r="AE1330">
        <v>0.78264990999826711</v>
      </c>
    </row>
    <row r="1331" spans="23:31" x14ac:dyDescent="0.25">
      <c r="W1331">
        <v>72.3</v>
      </c>
      <c r="X1331">
        <v>71.642067072409645</v>
      </c>
      <c r="Y1331">
        <v>0.65793292759035182</v>
      </c>
      <c r="Z1331">
        <v>0.65997060308562538</v>
      </c>
      <c r="AA1331">
        <v>3.0875246347966761E-3</v>
      </c>
      <c r="AB1331">
        <v>0.17879852292646811</v>
      </c>
      <c r="AC1331">
        <v>9.0009545536722829E-6</v>
      </c>
      <c r="AD1331">
        <v>0.83794453378675593</v>
      </c>
      <c r="AE1331">
        <v>0.78585960286838219</v>
      </c>
    </row>
    <row r="1332" spans="23:31" x14ac:dyDescent="0.25">
      <c r="W1332">
        <v>72.2</v>
      </c>
      <c r="X1332">
        <v>71.739293433934705</v>
      </c>
      <c r="Y1332">
        <v>0.46070656606529781</v>
      </c>
      <c r="Z1332">
        <v>0.46212542107170407</v>
      </c>
      <c r="AA1332">
        <v>3.0702812304099492E-3</v>
      </c>
      <c r="AB1332">
        <v>0.12519960267874922</v>
      </c>
      <c r="AC1332">
        <v>4.3886084109827679E-6</v>
      </c>
      <c r="AD1332">
        <v>0.83794453378675593</v>
      </c>
      <c r="AE1332">
        <v>0.78680855896406998</v>
      </c>
    </row>
    <row r="1333" spans="23:31" x14ac:dyDescent="0.25">
      <c r="W1333">
        <v>72.2</v>
      </c>
      <c r="X1333">
        <v>71.520208338833285</v>
      </c>
      <c r="Y1333">
        <v>0.67979166116671763</v>
      </c>
      <c r="Z1333">
        <v>0.68182472223914203</v>
      </c>
      <c r="AA1333">
        <v>2.9817943030062402E-3</v>
      </c>
      <c r="AB1333">
        <v>0.18472901247807269</v>
      </c>
      <c r="AC1333">
        <v>9.2779520571350611E-6</v>
      </c>
      <c r="AD1333">
        <v>0.83794453378675593</v>
      </c>
      <c r="AE1333">
        <v>0.78821179332796565</v>
      </c>
    </row>
    <row r="1334" spans="23:31" x14ac:dyDescent="0.25">
      <c r="W1334">
        <v>72.2</v>
      </c>
      <c r="X1334">
        <v>70.086760697932618</v>
      </c>
      <c r="Y1334">
        <v>2.1132393020673845</v>
      </c>
      <c r="Z1334">
        <v>2.1263496063214689</v>
      </c>
      <c r="AA1334">
        <v>6.1656390911033181E-3</v>
      </c>
      <c r="AB1334">
        <v>0.57517830300207884</v>
      </c>
      <c r="AC1334">
        <v>1.8658485810104484E-4</v>
      </c>
      <c r="AD1334">
        <v>0.83794453378675593</v>
      </c>
      <c r="AE1334">
        <v>0.78928799765204816</v>
      </c>
    </row>
    <row r="1335" spans="23:31" x14ac:dyDescent="0.25">
      <c r="W1335">
        <v>72.2</v>
      </c>
      <c r="X1335">
        <v>68.979131170707689</v>
      </c>
      <c r="Y1335">
        <v>3.2208688292923142</v>
      </c>
      <c r="Z1335">
        <v>3.240082157620904</v>
      </c>
      <c r="AA1335">
        <v>5.9298892416638164E-3</v>
      </c>
      <c r="AB1335">
        <v>0.87654728829580653</v>
      </c>
      <c r="AC1335">
        <v>4.1666553792584458E-4</v>
      </c>
      <c r="AD1335">
        <v>0.83794453378675593</v>
      </c>
      <c r="AE1335">
        <v>0.7894785144270694</v>
      </c>
    </row>
    <row r="1336" spans="23:31" x14ac:dyDescent="0.25">
      <c r="W1336">
        <v>72.099999999999994</v>
      </c>
      <c r="X1336">
        <v>70.168885244397117</v>
      </c>
      <c r="Y1336">
        <v>1.9311147556028772</v>
      </c>
      <c r="Z1336">
        <v>1.9366782901891639</v>
      </c>
      <c r="AA1336">
        <v>2.8727200663480482E-3</v>
      </c>
      <c r="AB1336">
        <v>0.52473931410491292</v>
      </c>
      <c r="AC1336">
        <v>7.2116930118373257E-5</v>
      </c>
      <c r="AD1336">
        <v>0.873012700415573</v>
      </c>
      <c r="AE1336">
        <v>0.78970664343577168</v>
      </c>
    </row>
    <row r="1337" spans="23:31" x14ac:dyDescent="0.25">
      <c r="W1337">
        <v>72.099999999999994</v>
      </c>
      <c r="X1337">
        <v>70.422159743768859</v>
      </c>
      <c r="Y1337">
        <v>1.6778402562311356</v>
      </c>
      <c r="Z1337">
        <v>1.681771619157999</v>
      </c>
      <c r="AA1337">
        <v>2.3376318651590591E-3</v>
      </c>
      <c r="AB1337">
        <v>0.45579508186521545</v>
      </c>
      <c r="AC1337">
        <v>4.4252632595968809E-5</v>
      </c>
      <c r="AD1337">
        <v>0.873012700415573</v>
      </c>
      <c r="AE1337">
        <v>0.7900905988671576</v>
      </c>
    </row>
    <row r="1338" spans="23:31" x14ac:dyDescent="0.25">
      <c r="W1338">
        <v>72.099999999999994</v>
      </c>
      <c r="X1338">
        <v>69.862205300437594</v>
      </c>
      <c r="Y1338">
        <v>2.2377946995624001</v>
      </c>
      <c r="Z1338">
        <v>2.248878036545932</v>
      </c>
      <c r="AA1338">
        <v>4.9283850895492825E-3</v>
      </c>
      <c r="AB1338">
        <v>0.60870082719179286</v>
      </c>
      <c r="AC1338">
        <v>1.6682663727916053E-4</v>
      </c>
      <c r="AD1338">
        <v>0.873012700415573</v>
      </c>
      <c r="AE1338">
        <v>0.79056013922803481</v>
      </c>
    </row>
    <row r="1339" spans="23:31" x14ac:dyDescent="0.25">
      <c r="W1339">
        <v>72</v>
      </c>
      <c r="X1339">
        <v>70.342180873836412</v>
      </c>
      <c r="Y1339">
        <v>1.657819126163588</v>
      </c>
      <c r="Z1339">
        <v>1.6613938724596835</v>
      </c>
      <c r="AA1339">
        <v>2.1516549178092156E-3</v>
      </c>
      <c r="AB1339">
        <v>0.45031425503055533</v>
      </c>
      <c r="AC1339">
        <v>3.9750883355425168E-5</v>
      </c>
      <c r="AD1339">
        <v>0.873012700415573</v>
      </c>
      <c r="AE1339">
        <v>0.79622223165340111</v>
      </c>
    </row>
    <row r="1340" spans="23:31" x14ac:dyDescent="0.25">
      <c r="W1340">
        <v>71.8</v>
      </c>
      <c r="X1340">
        <v>62.755746256263834</v>
      </c>
      <c r="Y1340">
        <v>9.0442537437361636</v>
      </c>
      <c r="Z1340">
        <v>9.2795342386197461</v>
      </c>
      <c r="AA1340">
        <v>2.5354774154976906E-2</v>
      </c>
      <c r="AB1340">
        <v>2.4857662000501244</v>
      </c>
      <c r="AC1340">
        <v>1.4613056329985287E-2</v>
      </c>
      <c r="AD1340">
        <v>0.88194836619248052</v>
      </c>
      <c r="AE1340">
        <v>0.79725158901793491</v>
      </c>
    </row>
    <row r="1341" spans="23:31" x14ac:dyDescent="0.25">
      <c r="W1341">
        <v>48.1</v>
      </c>
      <c r="X1341">
        <v>59.972456845910799</v>
      </c>
      <c r="Y1341">
        <v>-11.872456845910797</v>
      </c>
      <c r="Z1341">
        <v>-12.022012808070954</v>
      </c>
      <c r="AA1341">
        <v>1.2440176578397423E-2</v>
      </c>
      <c r="AB1341">
        <v>-3.2416768012348047</v>
      </c>
      <c r="AC1341">
        <v>1.2033996266250782E-2</v>
      </c>
      <c r="AD1341">
        <v>0.88194836619248052</v>
      </c>
      <c r="AE1341">
        <v>0.79841046100600366</v>
      </c>
    </row>
    <row r="1342" spans="23:31" x14ac:dyDescent="0.25">
      <c r="W1342">
        <v>54</v>
      </c>
      <c r="X1342">
        <v>67.251789036663624</v>
      </c>
      <c r="Y1342">
        <v>-13.251789036663624</v>
      </c>
      <c r="Z1342">
        <v>-13.367069592559858</v>
      </c>
      <c r="AA1342">
        <v>8.6242205217810994E-3</v>
      </c>
      <c r="AB1342">
        <v>-3.6113217315806798</v>
      </c>
      <c r="AC1342">
        <v>1.0313859858172106E-2</v>
      </c>
      <c r="AD1342">
        <v>0.88194836619248052</v>
      </c>
      <c r="AE1342">
        <v>0.8087306558398295</v>
      </c>
    </row>
    <row r="1343" spans="23:31" x14ac:dyDescent="0.25">
      <c r="W1343">
        <v>49.7</v>
      </c>
      <c r="X1343">
        <v>60.253927590104539</v>
      </c>
      <c r="Y1343">
        <v>-10.553927590104536</v>
      </c>
      <c r="Z1343">
        <v>-10.658606749710117</v>
      </c>
      <c r="AA1343">
        <v>9.8210921993558253E-3</v>
      </c>
      <c r="AB1343">
        <v>-2.8778496084817231</v>
      </c>
      <c r="AC1343">
        <v>7.4677474360073269E-3</v>
      </c>
      <c r="AD1343">
        <v>0.88194836619248052</v>
      </c>
      <c r="AE1343">
        <v>0.80975487678525171</v>
      </c>
    </row>
    <row r="1344" spans="23:31" x14ac:dyDescent="0.25">
      <c r="W1344">
        <v>48.9</v>
      </c>
      <c r="X1344">
        <v>59.303455250243871</v>
      </c>
      <c r="Y1344">
        <v>-10.403455250243873</v>
      </c>
      <c r="Z1344">
        <v>-10.516226931658785</v>
      </c>
      <c r="AA1344">
        <v>1.0723587665783175E-2</v>
      </c>
      <c r="AB1344">
        <v>-2.8381124339876438</v>
      </c>
      <c r="AC1344">
        <v>7.9375954350573309E-3</v>
      </c>
      <c r="AD1344">
        <v>0.89095501331493132</v>
      </c>
      <c r="AE1344">
        <v>0.8103464919218909</v>
      </c>
    </row>
    <row r="1345" spans="23:31" x14ac:dyDescent="0.25">
      <c r="W1345">
        <v>48.1</v>
      </c>
      <c r="X1345">
        <v>57.927141335373605</v>
      </c>
      <c r="Y1345">
        <v>-9.8271413353736037</v>
      </c>
      <c r="Z1345">
        <v>-9.8981962713561558</v>
      </c>
      <c r="AA1345">
        <v>7.178574159837134E-3</v>
      </c>
      <c r="AB1345">
        <v>-2.6761007004907587</v>
      </c>
      <c r="AC1345">
        <v>4.7073801164613091E-3</v>
      </c>
      <c r="AD1345">
        <v>0.89095501331493132</v>
      </c>
      <c r="AE1345">
        <v>0.81132114816134726</v>
      </c>
    </row>
    <row r="1346" spans="23:31" x14ac:dyDescent="0.25">
      <c r="W1346">
        <v>47.1</v>
      </c>
      <c r="X1346">
        <v>58.215729052396597</v>
      </c>
      <c r="Y1346">
        <v>-11.115729052396595</v>
      </c>
      <c r="Z1346">
        <v>-11.265264810911368</v>
      </c>
      <c r="AA1346">
        <v>1.3274056227238963E-2</v>
      </c>
      <c r="AB1346">
        <v>-3.0363406836321363</v>
      </c>
      <c r="AC1346">
        <v>1.1274970596583169E-2</v>
      </c>
      <c r="AD1346">
        <v>0.89095501331493132</v>
      </c>
      <c r="AE1346">
        <v>0.81792853934045451</v>
      </c>
    </row>
    <row r="1347" spans="23:31" x14ac:dyDescent="0.25">
      <c r="W1347">
        <v>46.2</v>
      </c>
      <c r="X1347">
        <v>56.010921066579783</v>
      </c>
      <c r="Y1347">
        <v>-9.8109210665797804</v>
      </c>
      <c r="Z1347">
        <v>-9.8902105782640888</v>
      </c>
      <c r="AA1347">
        <v>8.0169690075722957E-3</v>
      </c>
      <c r="AB1347">
        <v>-2.6728124162331919</v>
      </c>
      <c r="AC1347">
        <v>5.2486817037272239E-3</v>
      </c>
      <c r="AD1347">
        <v>0.89095501331493132</v>
      </c>
      <c r="AE1347">
        <v>0.81961257881230054</v>
      </c>
    </row>
    <row r="1348" spans="23:31" x14ac:dyDescent="0.25">
      <c r="W1348">
        <v>45.3</v>
      </c>
      <c r="X1348">
        <v>62.565095638081345</v>
      </c>
      <c r="Y1348">
        <v>-17.265095638081348</v>
      </c>
      <c r="Z1348">
        <v>-17.429604229932416</v>
      </c>
      <c r="AA1348">
        <v>9.4384582507358074E-3</v>
      </c>
      <c r="AB1348">
        <v>-4.7069444957002222</v>
      </c>
      <c r="AC1348">
        <v>1.9191329660667555E-2</v>
      </c>
      <c r="AD1348">
        <v>0.89095501331493132</v>
      </c>
      <c r="AE1348">
        <v>0.82070642992052067</v>
      </c>
    </row>
    <row r="1349" spans="23:31" x14ac:dyDescent="0.25">
      <c r="W1349">
        <v>68.8</v>
      </c>
      <c r="X1349">
        <v>66.963004720722196</v>
      </c>
      <c r="Y1349">
        <v>1.8369952792778008</v>
      </c>
      <c r="Z1349">
        <v>1.8421025752386839</v>
      </c>
      <c r="AA1349">
        <v>2.7725361386177053E-3</v>
      </c>
      <c r="AB1349">
        <v>0.49913927630291294</v>
      </c>
      <c r="AC1349">
        <v>6.297001401397641E-5</v>
      </c>
      <c r="AD1349">
        <v>0.89095501331493132</v>
      </c>
      <c r="AE1349">
        <v>0.82075813848454837</v>
      </c>
    </row>
    <row r="1350" spans="23:31" x14ac:dyDescent="0.25">
      <c r="W1350">
        <v>68.8</v>
      </c>
      <c r="X1350">
        <v>66.960850696799113</v>
      </c>
      <c r="Y1350">
        <v>1.8391493032008839</v>
      </c>
      <c r="Z1350">
        <v>1.8447350448662974</v>
      </c>
      <c r="AA1350">
        <v>3.027937090997866E-3</v>
      </c>
      <c r="AB1350">
        <v>0.49978856181500025</v>
      </c>
      <c r="AC1350">
        <v>6.8967391339937498E-5</v>
      </c>
      <c r="AD1350">
        <v>0.90460220385671419</v>
      </c>
      <c r="AE1350">
        <v>0.82461097156763752</v>
      </c>
    </row>
    <row r="1351" spans="23:31" x14ac:dyDescent="0.25">
      <c r="W1351">
        <v>68.7</v>
      </c>
      <c r="X1351">
        <v>66.974413391454718</v>
      </c>
      <c r="Y1351">
        <v>1.7255866085452851</v>
      </c>
      <c r="Z1351">
        <v>1.7314468935978482</v>
      </c>
      <c r="AA1351">
        <v>3.3846172667676986E-3</v>
      </c>
      <c r="AB1351">
        <v>0.46901182083014159</v>
      </c>
      <c r="AC1351">
        <v>6.7913618653353194E-5</v>
      </c>
      <c r="AD1351">
        <v>0.90460220385671419</v>
      </c>
      <c r="AE1351">
        <v>0.82747004154193959</v>
      </c>
    </row>
    <row r="1352" spans="23:31" x14ac:dyDescent="0.25">
      <c r="W1352">
        <v>68.5</v>
      </c>
      <c r="X1352">
        <v>66.742222222206095</v>
      </c>
      <c r="Y1352">
        <v>1.7577777777939048</v>
      </c>
      <c r="Z1352">
        <v>1.7632443505764286</v>
      </c>
      <c r="AA1352">
        <v>3.100292242957086E-3</v>
      </c>
      <c r="AB1352">
        <v>0.47769319593144632</v>
      </c>
      <c r="AC1352">
        <v>6.451438931644807E-5</v>
      </c>
      <c r="AD1352">
        <v>0.90460220385671419</v>
      </c>
      <c r="AE1352">
        <v>0.82898450956244574</v>
      </c>
    </row>
    <row r="1353" spans="23:31" x14ac:dyDescent="0.25">
      <c r="W1353">
        <v>68.3</v>
      </c>
      <c r="X1353">
        <v>64.602260931882398</v>
      </c>
      <c r="Y1353">
        <v>3.697739068117599</v>
      </c>
      <c r="Z1353">
        <v>3.7351566744388833</v>
      </c>
      <c r="AA1353">
        <v>1.001768053729893E-2</v>
      </c>
      <c r="AB1353">
        <v>1.0084012204656174</v>
      </c>
      <c r="AC1353">
        <v>9.3543535397112799E-4</v>
      </c>
      <c r="AD1353">
        <v>0.91148934236618206</v>
      </c>
      <c r="AE1353">
        <v>0.83243127683206675</v>
      </c>
    </row>
    <row r="1354" spans="23:31" x14ac:dyDescent="0.25">
      <c r="W1354">
        <v>68.099999999999994</v>
      </c>
      <c r="X1354">
        <v>66.42993880246101</v>
      </c>
      <c r="Y1354">
        <v>1.6700611975389847</v>
      </c>
      <c r="Z1354">
        <v>1.6755786634086007</v>
      </c>
      <c r="AA1354">
        <v>3.2928718836690292E-3</v>
      </c>
      <c r="AB1354">
        <v>0.45389920659410643</v>
      </c>
      <c r="AC1354">
        <v>6.1877595871525466E-5</v>
      </c>
      <c r="AD1354">
        <v>0.91148934236618206</v>
      </c>
      <c r="AE1354">
        <v>0.83300975453026227</v>
      </c>
    </row>
    <row r="1355" spans="23:31" x14ac:dyDescent="0.25">
      <c r="W1355">
        <v>68</v>
      </c>
      <c r="X1355">
        <v>65.943178420656807</v>
      </c>
      <c r="Y1355">
        <v>2.0568215793431932</v>
      </c>
      <c r="Z1355">
        <v>2.0619944578009921</v>
      </c>
      <c r="AA1355">
        <v>2.5086771878714432E-3</v>
      </c>
      <c r="AB1355">
        <v>0.55879547020192533</v>
      </c>
      <c r="AC1355">
        <v>7.1391864262958558E-5</v>
      </c>
      <c r="AD1355">
        <v>0.91148934236618206</v>
      </c>
      <c r="AE1355">
        <v>0.83589839516281983</v>
      </c>
    </row>
    <row r="1356" spans="23:31" x14ac:dyDescent="0.25">
      <c r="W1356">
        <v>67.599999999999994</v>
      </c>
      <c r="X1356">
        <v>67.441452419165955</v>
      </c>
      <c r="Y1356">
        <v>0.15854758083403908</v>
      </c>
      <c r="Z1356">
        <v>0.1604583028222919</v>
      </c>
      <c r="AA1356">
        <v>1.1907903515366167E-2</v>
      </c>
      <c r="AB1356">
        <v>4.3278452870558648E-2</v>
      </c>
      <c r="AC1356">
        <v>2.0520533647416019E-6</v>
      </c>
      <c r="AD1356">
        <v>0.91841998904288702</v>
      </c>
      <c r="AE1356">
        <v>0.83632714743689629</v>
      </c>
    </row>
    <row r="1357" spans="23:31" x14ac:dyDescent="0.25">
      <c r="W1357">
        <v>67.599999999999994</v>
      </c>
      <c r="X1357">
        <v>68.777825739129582</v>
      </c>
      <c r="Y1357">
        <v>-1.1778257391295881</v>
      </c>
      <c r="Z1357">
        <v>-1.1850959798631635</v>
      </c>
      <c r="AA1357">
        <v>6.1347273614227142E-3</v>
      </c>
      <c r="AB1357">
        <v>-0.32057385728215726</v>
      </c>
      <c r="AC1357">
        <v>5.7667519523631175E-5</v>
      </c>
      <c r="AD1357">
        <v>0.91841998904288702</v>
      </c>
      <c r="AE1357">
        <v>0.8409065850776547</v>
      </c>
    </row>
    <row r="1358" spans="23:31" x14ac:dyDescent="0.25">
      <c r="W1358">
        <v>67.400000000000006</v>
      </c>
      <c r="X1358">
        <v>67.976999516622044</v>
      </c>
      <c r="Y1358">
        <v>-0.5769995166220383</v>
      </c>
      <c r="Z1358">
        <v>-0.58027964944548671</v>
      </c>
      <c r="AA1358">
        <v>5.6526759581927372E-3</v>
      </c>
      <c r="AB1358">
        <v>-0.15700634899918603</v>
      </c>
      <c r="AC1358">
        <v>1.2739656698001421E-5</v>
      </c>
      <c r="AD1358">
        <v>0.91841998904288702</v>
      </c>
      <c r="AE1358">
        <v>0.84199241684382797</v>
      </c>
    </row>
    <row r="1359" spans="23:31" x14ac:dyDescent="0.25">
      <c r="W1359">
        <v>67.099999999999994</v>
      </c>
      <c r="X1359">
        <v>65.777412681633095</v>
      </c>
      <c r="Y1359">
        <v>1.3225873183668995</v>
      </c>
      <c r="Z1359">
        <v>1.3382770304646101</v>
      </c>
      <c r="AA1359">
        <v>1.1723814830972198E-2</v>
      </c>
      <c r="AB1359">
        <v>0.36099069629494568</v>
      </c>
      <c r="AC1359">
        <v>1.4053676533308E-4</v>
      </c>
      <c r="AD1359">
        <v>0.91841998904288702</v>
      </c>
      <c r="AE1359">
        <v>0.84332466801121908</v>
      </c>
    </row>
    <row r="1360" spans="23:31" x14ac:dyDescent="0.25">
      <c r="W1360">
        <v>66.8</v>
      </c>
      <c r="X1360">
        <v>62.422311621797036</v>
      </c>
      <c r="Y1360">
        <v>4.3776883782029614</v>
      </c>
      <c r="Z1360">
        <v>4.3940468235852563</v>
      </c>
      <c r="AA1360">
        <v>3.7228655130597229E-3</v>
      </c>
      <c r="AB1360">
        <v>1.1900510230340802</v>
      </c>
      <c r="AC1360">
        <v>4.8110033988580888E-4</v>
      </c>
      <c r="AD1360">
        <v>0.91841998904288702</v>
      </c>
      <c r="AE1360">
        <v>0.84366435148344343</v>
      </c>
    </row>
    <row r="1361" spans="23:31" x14ac:dyDescent="0.25">
      <c r="W1361">
        <v>66.5</v>
      </c>
      <c r="X1361">
        <v>66.538079982950791</v>
      </c>
      <c r="Y1361">
        <v>-3.8079982950790736E-2</v>
      </c>
      <c r="Z1361">
        <v>-3.8325987298762243E-2</v>
      </c>
      <c r="AA1361">
        <v>6.4187347884657039E-3</v>
      </c>
      <c r="AB1361">
        <v>-1.036587263386096E-2</v>
      </c>
      <c r="AC1361">
        <v>6.3105191544542275E-8</v>
      </c>
      <c r="AD1361">
        <v>0.91841998904288702</v>
      </c>
      <c r="AE1361">
        <v>0.8441682609795973</v>
      </c>
    </row>
    <row r="1362" spans="23:31" x14ac:dyDescent="0.25">
      <c r="W1362">
        <v>66.2</v>
      </c>
      <c r="X1362">
        <v>62.313763247529039</v>
      </c>
      <c r="Y1362">
        <v>3.886236752470964</v>
      </c>
      <c r="Z1362">
        <v>3.9074149736530046</v>
      </c>
      <c r="AA1362">
        <v>5.4200081959153851E-3</v>
      </c>
      <c r="AB1362">
        <v>1.0573535203244517</v>
      </c>
      <c r="AC1362">
        <v>5.5387016390354409E-4</v>
      </c>
      <c r="AD1362">
        <v>0.93241539434320941</v>
      </c>
      <c r="AE1362">
        <v>0.84825727484465729</v>
      </c>
    </row>
    <row r="1363" spans="23:31" x14ac:dyDescent="0.25">
      <c r="W1363">
        <v>65.8</v>
      </c>
      <c r="X1363">
        <v>62.590939122916033</v>
      </c>
      <c r="Y1363">
        <v>3.2090608770839637</v>
      </c>
      <c r="Z1363">
        <v>3.2228454138560423</v>
      </c>
      <c r="AA1363">
        <v>4.277132472074922E-3</v>
      </c>
      <c r="AB1363">
        <v>0.87260869341961744</v>
      </c>
      <c r="AC1363">
        <v>2.9734497665193923E-4</v>
      </c>
      <c r="AD1363">
        <v>0.93241539434320941</v>
      </c>
      <c r="AE1363">
        <v>0.84973669118988637</v>
      </c>
    </row>
    <row r="1364" spans="23:31" x14ac:dyDescent="0.25">
      <c r="W1364">
        <v>62</v>
      </c>
      <c r="X1364">
        <v>65.043116767867659</v>
      </c>
      <c r="Y1364">
        <v>-3.0431167678676587</v>
      </c>
      <c r="Z1364">
        <v>-3.0637488315617389</v>
      </c>
      <c r="AA1364">
        <v>6.7342542840101976E-3</v>
      </c>
      <c r="AB1364">
        <v>-0.82850800302526317</v>
      </c>
      <c r="AC1364">
        <v>4.2308222864012357E-4</v>
      </c>
      <c r="AD1364">
        <v>0.93712127394454448</v>
      </c>
      <c r="AE1364">
        <v>0.85007131181989914</v>
      </c>
    </row>
    <row r="1365" spans="23:31" x14ac:dyDescent="0.25">
      <c r="W1365">
        <v>69</v>
      </c>
      <c r="X1365">
        <v>65.595578067094195</v>
      </c>
      <c r="Y1365">
        <v>3.4044219329058052</v>
      </c>
      <c r="Z1365">
        <v>3.4204702239275093</v>
      </c>
      <c r="AA1365">
        <v>4.6918376629750307E-3</v>
      </c>
      <c r="AB1365">
        <v>0.92592416162154401</v>
      </c>
      <c r="AC1365">
        <v>3.6740372935698223E-4</v>
      </c>
      <c r="AD1365">
        <v>0.93712127394454448</v>
      </c>
      <c r="AE1365">
        <v>0.85255649859798965</v>
      </c>
    </row>
    <row r="1366" spans="23:31" x14ac:dyDescent="0.25">
      <c r="W1366">
        <v>59.2</v>
      </c>
      <c r="X1366">
        <v>69.83858002517016</v>
      </c>
      <c r="Y1366">
        <v>-10.638580025170157</v>
      </c>
      <c r="Z1366">
        <v>-10.690720296310033</v>
      </c>
      <c r="AA1366">
        <v>4.8771523054317884E-3</v>
      </c>
      <c r="AB1366">
        <v>-2.8937175350312367</v>
      </c>
      <c r="AC1366">
        <v>3.7308621888944679E-3</v>
      </c>
      <c r="AD1366">
        <v>0.93712127394454448</v>
      </c>
      <c r="AE1366">
        <v>0.85263286245951464</v>
      </c>
    </row>
    <row r="1367" spans="23:31" x14ac:dyDescent="0.25">
      <c r="W1367">
        <v>58.9</v>
      </c>
      <c r="X1367">
        <v>62.364342790817581</v>
      </c>
      <c r="Y1367">
        <v>-3.4643427908175823</v>
      </c>
      <c r="Z1367">
        <v>-3.4834274589938659</v>
      </c>
      <c r="AA1367">
        <v>5.4787040640130388E-3</v>
      </c>
      <c r="AB1367">
        <v>-0.94259392104394846</v>
      </c>
      <c r="AC1367">
        <v>4.4495935210684285E-4</v>
      </c>
      <c r="AD1367">
        <v>0.93712127394454448</v>
      </c>
      <c r="AE1367">
        <v>0.85582823522798734</v>
      </c>
    </row>
    <row r="1368" spans="23:31" x14ac:dyDescent="0.25">
      <c r="W1368">
        <v>58</v>
      </c>
      <c r="X1368">
        <v>61.357370098083472</v>
      </c>
      <c r="Y1368">
        <v>-3.3573700980834715</v>
      </c>
      <c r="Z1368">
        <v>-3.3759493486617416</v>
      </c>
      <c r="AA1368">
        <v>5.5034150869688603E-3</v>
      </c>
      <c r="AB1368">
        <v>-0.91349966013026374</v>
      </c>
      <c r="AC1368">
        <v>4.1981027996997321E-4</v>
      </c>
      <c r="AD1368">
        <v>0.93712127394454448</v>
      </c>
      <c r="AE1368">
        <v>0.85773902478253283</v>
      </c>
    </row>
    <row r="1369" spans="23:31" x14ac:dyDescent="0.25">
      <c r="W1369">
        <v>56.5</v>
      </c>
      <c r="X1369">
        <v>57.254984181368563</v>
      </c>
      <c r="Y1369">
        <v>-0.75498418136856316</v>
      </c>
      <c r="Z1369">
        <v>-0.76091738319053093</v>
      </c>
      <c r="AA1369">
        <v>7.797432353417174E-3</v>
      </c>
      <c r="AB1369">
        <v>-0.20565936901491486</v>
      </c>
      <c r="AC1369">
        <v>3.0217294829729263E-5</v>
      </c>
      <c r="AD1369">
        <v>0.94897780985887181</v>
      </c>
      <c r="AE1369">
        <v>0.86057611616767127</v>
      </c>
    </row>
    <row r="1370" spans="23:31" x14ac:dyDescent="0.25">
      <c r="W1370">
        <v>55.3</v>
      </c>
      <c r="X1370">
        <v>54.794104528257222</v>
      </c>
      <c r="Y1370">
        <v>0.50589547174277527</v>
      </c>
      <c r="Z1370">
        <v>0.51120599932463762</v>
      </c>
      <c r="AA1370">
        <v>1.0388234075648995E-2</v>
      </c>
      <c r="AB1370">
        <v>0.13798732228237079</v>
      </c>
      <c r="AC1370">
        <v>1.8170319574347573E-5</v>
      </c>
      <c r="AD1370">
        <v>0.94897780985887181</v>
      </c>
      <c r="AE1370">
        <v>0.86316196231605491</v>
      </c>
    </row>
    <row r="1371" spans="23:31" x14ac:dyDescent="0.25">
      <c r="W1371">
        <v>54.5</v>
      </c>
      <c r="X1371">
        <v>53.238752007490646</v>
      </c>
      <c r="Y1371">
        <v>1.2612479925093538</v>
      </c>
      <c r="Z1371">
        <v>1.2772566147418516</v>
      </c>
      <c r="AA1371">
        <v>1.2533599002523663E-2</v>
      </c>
      <c r="AB1371">
        <v>0.34438969220933652</v>
      </c>
      <c r="AC1371">
        <v>1.3685512692642048E-4</v>
      </c>
      <c r="AD1371">
        <v>0.94897780985887181</v>
      </c>
      <c r="AE1371">
        <v>0.86498618436749075</v>
      </c>
    </row>
    <row r="1372" spans="23:31" x14ac:dyDescent="0.25">
      <c r="W1372">
        <v>54</v>
      </c>
      <c r="X1372">
        <v>52.212394401274224</v>
      </c>
      <c r="Y1372">
        <v>1.7876055987257757</v>
      </c>
      <c r="Z1372">
        <v>1.8129356469045632</v>
      </c>
      <c r="AA1372">
        <v>1.3971840766677611E-2</v>
      </c>
      <c r="AB1372">
        <v>0.48846996758613953</v>
      </c>
      <c r="AC1372">
        <v>3.0736000820891685E-4</v>
      </c>
      <c r="AD1372">
        <v>0.94897780985887181</v>
      </c>
      <c r="AE1372">
        <v>0.86574276331839461</v>
      </c>
    </row>
    <row r="1373" spans="23:31" x14ac:dyDescent="0.25">
      <c r="W1373">
        <v>53.8</v>
      </c>
      <c r="X1373">
        <v>51.45032037694169</v>
      </c>
      <c r="Y1373">
        <v>2.3496796230583072</v>
      </c>
      <c r="Z1373">
        <v>2.3859585877592124</v>
      </c>
      <c r="AA1373">
        <v>1.5205194627865404E-2</v>
      </c>
      <c r="AB1373">
        <v>0.64246074366654515</v>
      </c>
      <c r="AC1373">
        <v>5.7935764405855276E-4</v>
      </c>
      <c r="AD1373">
        <v>0.95855995741850497</v>
      </c>
      <c r="AE1373">
        <v>0.86720955397172361</v>
      </c>
    </row>
    <row r="1374" spans="23:31" x14ac:dyDescent="0.25">
      <c r="W1374">
        <v>53.7</v>
      </c>
      <c r="X1374">
        <v>51.402213844382914</v>
      </c>
      <c r="Y1374">
        <v>2.2977861556170893</v>
      </c>
      <c r="Z1374">
        <v>2.3336683285988258</v>
      </c>
      <c r="AA1374">
        <v>1.5375866631091147E-2</v>
      </c>
      <c r="AB1374">
        <v>0.6283262304064956</v>
      </c>
      <c r="AC1374">
        <v>5.6046283935233141E-4</v>
      </c>
      <c r="AD1374">
        <v>0.95855995741850497</v>
      </c>
      <c r="AE1374">
        <v>0.8678786392831761</v>
      </c>
    </row>
    <row r="1375" spans="23:31" x14ac:dyDescent="0.25">
      <c r="W1375">
        <v>54</v>
      </c>
      <c r="X1375">
        <v>51.839584451302727</v>
      </c>
      <c r="Y1375">
        <v>2.1604155486972729</v>
      </c>
      <c r="Z1375">
        <v>2.1927662465624991</v>
      </c>
      <c r="AA1375">
        <v>1.4753372784693365E-2</v>
      </c>
      <c r="AB1375">
        <v>0.59057578499368524</v>
      </c>
      <c r="AC1375">
        <v>4.7479369814149735E-4</v>
      </c>
      <c r="AD1375">
        <v>0.95855995741850497</v>
      </c>
      <c r="AE1375">
        <v>0.86795022284562495</v>
      </c>
    </row>
    <row r="1376" spans="23:31" x14ac:dyDescent="0.25">
      <c r="W1376">
        <v>54.9</v>
      </c>
      <c r="X1376">
        <v>51.996879248163623</v>
      </c>
      <c r="Y1376">
        <v>2.9031207518363757</v>
      </c>
      <c r="Z1376">
        <v>2.9660731592072338</v>
      </c>
      <c r="AA1376">
        <v>2.1224158674389076E-2</v>
      </c>
      <c r="AB1376">
        <v>0.79622223165340111</v>
      </c>
      <c r="AC1376">
        <v>1.2497500316279669E-3</v>
      </c>
      <c r="AD1376">
        <v>0.95855995741850497</v>
      </c>
      <c r="AE1376">
        <v>0.87051319576923059</v>
      </c>
    </row>
    <row r="1377" spans="23:31" x14ac:dyDescent="0.25">
      <c r="W1377">
        <v>56</v>
      </c>
      <c r="X1377">
        <v>53.80959961961986</v>
      </c>
      <c r="Y1377">
        <v>2.1904003803801402</v>
      </c>
      <c r="Z1377">
        <v>2.2178710761370439</v>
      </c>
      <c r="AA1377">
        <v>1.2386065201205457E-2</v>
      </c>
      <c r="AB1377">
        <v>0.59805444381316175</v>
      </c>
      <c r="AC1377">
        <v>4.0778844086142925E-4</v>
      </c>
      <c r="AD1377">
        <v>0.95855995741850497</v>
      </c>
      <c r="AE1377">
        <v>0.87132351644840422</v>
      </c>
    </row>
    <row r="1378" spans="23:31" x14ac:dyDescent="0.25">
      <c r="W1378">
        <v>57.3</v>
      </c>
      <c r="X1378">
        <v>55.549753200965</v>
      </c>
      <c r="Y1378">
        <v>1.750246799034997</v>
      </c>
      <c r="Z1378">
        <v>1.7696511030581092</v>
      </c>
      <c r="AA1378">
        <v>1.0965045024739266E-2</v>
      </c>
      <c r="AB1378">
        <v>0.47753399254484741</v>
      </c>
      <c r="AC1378">
        <v>2.2983421219277694E-4</v>
      </c>
      <c r="AD1378">
        <v>0.95855995741850497</v>
      </c>
      <c r="AE1378">
        <v>0.87164683116963304</v>
      </c>
    </row>
    <row r="1379" spans="23:31" x14ac:dyDescent="0.25">
      <c r="W1379">
        <v>82.6</v>
      </c>
      <c r="X1379">
        <v>81.533246867574604</v>
      </c>
      <c r="Y1379">
        <v>1.06675313242539</v>
      </c>
      <c r="Z1379">
        <v>1.0775388397708952</v>
      </c>
      <c r="AA1379">
        <v>1.0009576404507507E-2</v>
      </c>
      <c r="AB1379">
        <v>0.29091040170961996</v>
      </c>
      <c r="AC1379">
        <v>7.7787626503755551E-5</v>
      </c>
      <c r="AD1379">
        <v>0.95855995741850497</v>
      </c>
      <c r="AE1379">
        <v>0.87260869341961744</v>
      </c>
    </row>
    <row r="1380" spans="23:31" x14ac:dyDescent="0.25">
      <c r="W1380">
        <v>82.4</v>
      </c>
      <c r="X1380">
        <v>81.600458849832293</v>
      </c>
      <c r="Y1380">
        <v>0.79954115016771254</v>
      </c>
      <c r="Z1380">
        <v>0.80333202387728875</v>
      </c>
      <c r="AA1380">
        <v>4.7189376209287263E-3</v>
      </c>
      <c r="AB1380">
        <v>0.21745969285811048</v>
      </c>
      <c r="AC1380">
        <v>2.0382776916479703E-5</v>
      </c>
      <c r="AD1380">
        <v>0.95855995741850497</v>
      </c>
      <c r="AE1380">
        <v>0.87552360813664554</v>
      </c>
    </row>
    <row r="1381" spans="23:31" x14ac:dyDescent="0.25">
      <c r="W1381">
        <v>82</v>
      </c>
      <c r="X1381">
        <v>82.056833745490209</v>
      </c>
      <c r="Y1381">
        <v>-5.6833745490209253E-2</v>
      </c>
      <c r="Z1381">
        <v>-5.7096147701997779E-2</v>
      </c>
      <c r="AA1381">
        <v>4.595795379339164E-3</v>
      </c>
      <c r="AB1381">
        <v>-1.5456720818166049E-2</v>
      </c>
      <c r="AC1381">
        <v>1.0027744352366756E-7</v>
      </c>
      <c r="AD1381">
        <v>0.95855995741850497</v>
      </c>
      <c r="AE1381">
        <v>0.87584210142768304</v>
      </c>
    </row>
    <row r="1382" spans="23:31" x14ac:dyDescent="0.25">
      <c r="W1382">
        <v>82.1</v>
      </c>
      <c r="X1382">
        <v>81.939344017633118</v>
      </c>
      <c r="Y1382">
        <v>0.16065598236687606</v>
      </c>
      <c r="Z1382">
        <v>0.16149795821040414</v>
      </c>
      <c r="AA1382">
        <v>5.2135386283063611E-3</v>
      </c>
      <c r="AB1382">
        <v>4.3706173865360638E-2</v>
      </c>
      <c r="AC1382">
        <v>9.1011363856803449E-7</v>
      </c>
      <c r="AD1382">
        <v>0.95855995741850497</v>
      </c>
      <c r="AE1382">
        <v>0.87654728829580653</v>
      </c>
    </row>
    <row r="1383" spans="23:31" x14ac:dyDescent="0.25">
      <c r="W1383">
        <v>81.900000000000006</v>
      </c>
      <c r="X1383">
        <v>79.393459090149278</v>
      </c>
      <c r="Y1383">
        <v>2.5065409098507274</v>
      </c>
      <c r="Z1383">
        <v>2.516214015566888</v>
      </c>
      <c r="AA1383">
        <v>3.844309608131544E-3</v>
      </c>
      <c r="AB1383">
        <v>0.68143118885665244</v>
      </c>
      <c r="AC1383">
        <v>1.6290802032999392E-4</v>
      </c>
      <c r="AD1383">
        <v>0.95855995741850497</v>
      </c>
      <c r="AE1383">
        <v>0.88061628145005288</v>
      </c>
    </row>
    <row r="1384" spans="23:31" x14ac:dyDescent="0.25">
      <c r="W1384">
        <v>81.599999999999994</v>
      </c>
      <c r="X1384">
        <v>81.218523195330874</v>
      </c>
      <c r="Y1384">
        <v>0.38147680466911993</v>
      </c>
      <c r="Z1384">
        <v>0.38350703709505751</v>
      </c>
      <c r="AA1384">
        <v>5.2938596415635746E-3</v>
      </c>
      <c r="AB1384">
        <v>0.10378427523581364</v>
      </c>
      <c r="AC1384">
        <v>5.2113237242404596E-6</v>
      </c>
      <c r="AD1384">
        <v>0.98537673313779217</v>
      </c>
      <c r="AE1384">
        <v>0.88429428528420162</v>
      </c>
    </row>
    <row r="1385" spans="23:31" x14ac:dyDescent="0.25">
      <c r="W1385">
        <v>81.3</v>
      </c>
      <c r="X1385">
        <v>82.236944802795222</v>
      </c>
      <c r="Y1385">
        <v>-0.93694480279522452</v>
      </c>
      <c r="Z1385">
        <v>-0.94270649846586707</v>
      </c>
      <c r="AA1385">
        <v>6.1118658670705553E-3</v>
      </c>
      <c r="AB1385">
        <v>-0.25500933206142429</v>
      </c>
      <c r="AC1385">
        <v>3.6354298693254624E-5</v>
      </c>
      <c r="AD1385">
        <v>0.98537673313779217</v>
      </c>
      <c r="AE1385">
        <v>0.89196704276476846</v>
      </c>
    </row>
    <row r="1386" spans="23:31" x14ac:dyDescent="0.25">
      <c r="W1386">
        <v>89</v>
      </c>
      <c r="X1386">
        <v>78.440417564854755</v>
      </c>
      <c r="Y1386">
        <v>10.559582435145245</v>
      </c>
      <c r="Z1386">
        <v>10.59653449846698</v>
      </c>
      <c r="AA1386">
        <v>3.4871837889157891E-3</v>
      </c>
      <c r="AB1386">
        <v>2.8702261750901301</v>
      </c>
      <c r="AC1386">
        <v>2.6207856656772525E-3</v>
      </c>
      <c r="AD1386">
        <v>0.99032898964496086</v>
      </c>
      <c r="AE1386">
        <v>0.89576631589085087</v>
      </c>
    </row>
    <row r="1387" spans="23:31" x14ac:dyDescent="0.25">
      <c r="W1387">
        <v>88</v>
      </c>
      <c r="X1387">
        <v>80.017163588753633</v>
      </c>
      <c r="Y1387">
        <v>7.9828364112463674</v>
      </c>
      <c r="Z1387">
        <v>8.0176986181039211</v>
      </c>
      <c r="AA1387">
        <v>4.3481563124410797E-3</v>
      </c>
      <c r="AB1387">
        <v>2.1707724363979048</v>
      </c>
      <c r="AC1387">
        <v>1.8708266923501775E-3</v>
      </c>
      <c r="AD1387">
        <v>0.99032898964496086</v>
      </c>
      <c r="AE1387">
        <v>0.89696475195178704</v>
      </c>
    </row>
    <row r="1388" spans="23:31" x14ac:dyDescent="0.25">
      <c r="W1388">
        <v>81</v>
      </c>
      <c r="X1388">
        <v>75.80687883006452</v>
      </c>
      <c r="Y1388">
        <v>5.1931211699354805</v>
      </c>
      <c r="Z1388">
        <v>5.2425468082332571</v>
      </c>
      <c r="AA1388">
        <v>9.4277915115911701E-3</v>
      </c>
      <c r="AB1388">
        <v>1.4157814129813182</v>
      </c>
      <c r="AC1388">
        <v>1.7342973412255165E-3</v>
      </c>
      <c r="AD1388">
        <v>0.99032898964496086</v>
      </c>
      <c r="AE1388">
        <v>0.90386078952461002</v>
      </c>
    </row>
    <row r="1389" spans="23:31" x14ac:dyDescent="0.25">
      <c r="W1389">
        <v>81</v>
      </c>
      <c r="X1389">
        <v>79.11880302148252</v>
      </c>
      <c r="Y1389">
        <v>1.8811969785174796</v>
      </c>
      <c r="Z1389">
        <v>1.8883086771187294</v>
      </c>
      <c r="AA1389">
        <v>3.7661737656694136E-3</v>
      </c>
      <c r="AB1389">
        <v>0.51140438872504035</v>
      </c>
      <c r="AC1389">
        <v>8.9882529580955102E-5</v>
      </c>
      <c r="AD1389">
        <v>0.99032898964496086</v>
      </c>
      <c r="AE1389">
        <v>0.91060244305324789</v>
      </c>
    </row>
    <row r="1390" spans="23:31" x14ac:dyDescent="0.25">
      <c r="W1390">
        <v>79.400000000000006</v>
      </c>
      <c r="X1390">
        <v>78.732373401525379</v>
      </c>
      <c r="Y1390">
        <v>0.66762659847462658</v>
      </c>
      <c r="Z1390">
        <v>0.66986664687236441</v>
      </c>
      <c r="AA1390">
        <v>3.3440213931991546E-3</v>
      </c>
      <c r="AB1390">
        <v>0.18145620037717461</v>
      </c>
      <c r="AC1390">
        <v>1.0043260120282812E-5</v>
      </c>
      <c r="AD1390">
        <v>1.0003070916314494</v>
      </c>
      <c r="AE1390">
        <v>0.91195052554796296</v>
      </c>
    </row>
    <row r="1391" spans="23:31" x14ac:dyDescent="0.25">
      <c r="W1391">
        <v>79.5</v>
      </c>
      <c r="X1391">
        <v>77.356595674327494</v>
      </c>
      <c r="Y1391">
        <v>2.1434043256725062</v>
      </c>
      <c r="Z1391">
        <v>2.1520391216039627</v>
      </c>
      <c r="AA1391">
        <v>4.0123786992436981E-3</v>
      </c>
      <c r="AB1391">
        <v>0.58275760860591963</v>
      </c>
      <c r="AC1391">
        <v>1.2437445627502984E-4</v>
      </c>
      <c r="AD1391">
        <v>1.0003070916314494</v>
      </c>
      <c r="AE1391">
        <v>0.91346487784757258</v>
      </c>
    </row>
    <row r="1392" spans="23:31" x14ac:dyDescent="0.25">
      <c r="W1392">
        <v>79.400000000000006</v>
      </c>
      <c r="X1392">
        <v>78.294298571544914</v>
      </c>
      <c r="Y1392">
        <v>1.1057014284550917</v>
      </c>
      <c r="Z1392">
        <v>1.1079304698790082</v>
      </c>
      <c r="AA1392">
        <v>2.0118964903613405E-3</v>
      </c>
      <c r="AB1392">
        <v>0.30032121239479198</v>
      </c>
      <c r="AC1392">
        <v>1.6529495576740131E-5</v>
      </c>
      <c r="AD1392">
        <v>1.0003070916314494</v>
      </c>
      <c r="AE1392">
        <v>0.92220139093862952</v>
      </c>
    </row>
    <row r="1393" spans="23:31" x14ac:dyDescent="0.25">
      <c r="W1393">
        <v>79.099999999999994</v>
      </c>
      <c r="X1393">
        <v>77.990826373939939</v>
      </c>
      <c r="Y1393">
        <v>1.1091736260600555</v>
      </c>
      <c r="Z1393">
        <v>1.1118819494270014</v>
      </c>
      <c r="AA1393">
        <v>2.4358011822629582E-3</v>
      </c>
      <c r="AB1393">
        <v>0.30132830395099641</v>
      </c>
      <c r="AC1393">
        <v>2.0155248242118392E-5</v>
      </c>
      <c r="AD1393">
        <v>1.0003070916314494</v>
      </c>
      <c r="AE1393">
        <v>0.92578557693471886</v>
      </c>
    </row>
    <row r="1394" spans="23:31" x14ac:dyDescent="0.25">
      <c r="W1394">
        <v>74.7</v>
      </c>
      <c r="X1394">
        <v>73.256488249344855</v>
      </c>
      <c r="Y1394">
        <v>1.4435117506551478</v>
      </c>
      <c r="Z1394">
        <v>1.4495867278466648</v>
      </c>
      <c r="AA1394">
        <v>4.1908338941183034E-3</v>
      </c>
      <c r="AB1394">
        <v>0.39250309335140116</v>
      </c>
      <c r="AC1394">
        <v>5.8941042177544528E-5</v>
      </c>
      <c r="AD1394">
        <v>1.0003070916314494</v>
      </c>
      <c r="AE1394">
        <v>0.92592416162154401</v>
      </c>
    </row>
    <row r="1395" spans="23:31" x14ac:dyDescent="0.25">
      <c r="W1395">
        <v>74.599999999999994</v>
      </c>
      <c r="X1395">
        <v>72.986895861534677</v>
      </c>
      <c r="Y1395">
        <v>1.6131041384653173</v>
      </c>
      <c r="Z1395">
        <v>1.6194521994537894</v>
      </c>
      <c r="AA1395">
        <v>3.919881667770176E-3</v>
      </c>
      <c r="AB1395">
        <v>0.43855704261848383</v>
      </c>
      <c r="AC1395">
        <v>6.8807880297954913E-5</v>
      </c>
      <c r="AD1395">
        <v>1.0129215482717411</v>
      </c>
      <c r="AE1395">
        <v>0.92619024169176045</v>
      </c>
    </row>
    <row r="1396" spans="23:31" x14ac:dyDescent="0.25">
      <c r="W1396">
        <v>74.5</v>
      </c>
      <c r="X1396">
        <v>72.730539833125093</v>
      </c>
      <c r="Y1396">
        <v>1.7694601668749073</v>
      </c>
      <c r="Z1396">
        <v>1.7767172117209213</v>
      </c>
      <c r="AA1396">
        <v>4.084524424115497E-3</v>
      </c>
      <c r="AB1396">
        <v>0.48110555345174733</v>
      </c>
      <c r="AC1396">
        <v>8.6299259916054603E-5</v>
      </c>
      <c r="AD1396">
        <v>1.0129215482717411</v>
      </c>
      <c r="AE1396">
        <v>0.93232556613778883</v>
      </c>
    </row>
    <row r="1397" spans="23:31" x14ac:dyDescent="0.25">
      <c r="W1397">
        <v>74.5</v>
      </c>
      <c r="X1397">
        <v>71.888296970416491</v>
      </c>
      <c r="Y1397">
        <v>2.6117030295835093</v>
      </c>
      <c r="Z1397">
        <v>2.6292624508128739</v>
      </c>
      <c r="AA1397">
        <v>6.6784589054360768E-3</v>
      </c>
      <c r="AB1397">
        <v>0.71103288318725189</v>
      </c>
      <c r="AC1397">
        <v>3.0901039646828938E-4</v>
      </c>
      <c r="AD1397">
        <v>1.0129215482717411</v>
      </c>
      <c r="AE1397">
        <v>0.9328331945658791</v>
      </c>
    </row>
    <row r="1398" spans="23:31" x14ac:dyDescent="0.25">
      <c r="W1398">
        <v>74.5</v>
      </c>
      <c r="X1398">
        <v>72.586509725356933</v>
      </c>
      <c r="Y1398">
        <v>1.9134902746430669</v>
      </c>
      <c r="Z1398">
        <v>1.9211590669249574</v>
      </c>
      <c r="AA1398">
        <v>3.9917529026738136E-3</v>
      </c>
      <c r="AB1398">
        <v>0.52024224133253416</v>
      </c>
      <c r="AC1398">
        <v>9.8609612969391896E-5</v>
      </c>
      <c r="AD1398">
        <v>1.0205681915260707</v>
      </c>
      <c r="AE1398">
        <v>0.93831848323244982</v>
      </c>
    </row>
    <row r="1399" spans="23:31" x14ac:dyDescent="0.25">
      <c r="W1399">
        <v>71.8</v>
      </c>
      <c r="X1399">
        <v>71.509778765009045</v>
      </c>
      <c r="Y1399">
        <v>0.29022123499095187</v>
      </c>
      <c r="Z1399">
        <v>0.29145297051384489</v>
      </c>
      <c r="AA1399">
        <v>4.2261896343851538E-3</v>
      </c>
      <c r="AB1399">
        <v>7.8915017284477126E-2</v>
      </c>
      <c r="AC1399">
        <v>2.4027849744721146E-6</v>
      </c>
      <c r="AD1399">
        <v>1.0205681915260707</v>
      </c>
      <c r="AE1399">
        <v>0.94021260096487325</v>
      </c>
    </row>
    <row r="1400" spans="23:31" x14ac:dyDescent="0.25">
      <c r="W1400">
        <v>72.3</v>
      </c>
      <c r="X1400">
        <v>71.572297546139339</v>
      </c>
      <c r="Y1400">
        <v>0.72770245386065824</v>
      </c>
      <c r="Z1400">
        <v>0.73070252983235662</v>
      </c>
      <c r="AA1400">
        <v>4.1057418706138913E-3</v>
      </c>
      <c r="AB1400">
        <v>0.19786001843454104</v>
      </c>
      <c r="AC1400">
        <v>1.4672422304948634E-5</v>
      </c>
      <c r="AD1400">
        <v>1.0205681915260707</v>
      </c>
      <c r="AE1400">
        <v>0.94068652190982183</v>
      </c>
    </row>
    <row r="1401" spans="23:31" x14ac:dyDescent="0.25">
      <c r="W1401">
        <v>73.7</v>
      </c>
      <c r="X1401">
        <v>71.918390608219084</v>
      </c>
      <c r="Y1401">
        <v>1.7816093917809184</v>
      </c>
      <c r="Z1401">
        <v>1.788272382280212</v>
      </c>
      <c r="AA1401">
        <v>3.7259371476721223E-3</v>
      </c>
      <c r="AB1401">
        <v>0.48432167038599855</v>
      </c>
      <c r="AC1401">
        <v>7.9750206883693838E-5</v>
      </c>
      <c r="AD1401">
        <v>1.0205681915260707</v>
      </c>
      <c r="AE1401">
        <v>0.9410045779285886</v>
      </c>
    </row>
    <row r="1402" spans="23:31" x14ac:dyDescent="0.25">
      <c r="W1402">
        <v>73.8</v>
      </c>
      <c r="X1402">
        <v>71.830911528557735</v>
      </c>
      <c r="Y1402">
        <v>1.9690884714422623</v>
      </c>
      <c r="Z1402">
        <v>1.9760009419689624</v>
      </c>
      <c r="AA1402">
        <v>3.4982121616891635E-3</v>
      </c>
      <c r="AB1402">
        <v>0.53522576110553843</v>
      </c>
      <c r="AC1402">
        <v>9.1421721463211511E-5</v>
      </c>
      <c r="AD1402">
        <v>1.0308575175648222</v>
      </c>
      <c r="AE1402">
        <v>0.94165793689174893</v>
      </c>
    </row>
    <row r="1403" spans="23:31" x14ac:dyDescent="0.25">
      <c r="W1403">
        <v>74.2</v>
      </c>
      <c r="X1403">
        <v>71.698161764097435</v>
      </c>
      <c r="Y1403">
        <v>2.5018382359025679</v>
      </c>
      <c r="Z1403">
        <v>2.5104912090732654</v>
      </c>
      <c r="AA1403">
        <v>3.4467251426439503E-3</v>
      </c>
      <c r="AB1403">
        <v>0.68001702407945674</v>
      </c>
      <c r="AC1403">
        <v>1.4539618688537819E-4</v>
      </c>
      <c r="AD1403">
        <v>1.0308575175648222</v>
      </c>
      <c r="AE1403">
        <v>0.94988579114491534</v>
      </c>
    </row>
    <row r="1404" spans="23:31" x14ac:dyDescent="0.25">
      <c r="W1404">
        <v>69.099999999999994</v>
      </c>
      <c r="X1404">
        <v>70.369868676768718</v>
      </c>
      <c r="Y1404">
        <v>-1.2698686767687235</v>
      </c>
      <c r="Z1404">
        <v>-1.274692560054234</v>
      </c>
      <c r="AA1404">
        <v>3.7843503890089025E-3</v>
      </c>
      <c r="AB1404">
        <v>-0.34521761745970231</v>
      </c>
      <c r="AC1404">
        <v>4.1155814145292227E-5</v>
      </c>
      <c r="AD1404">
        <v>1.0308575175648222</v>
      </c>
      <c r="AE1404">
        <v>0.95071699724216485</v>
      </c>
    </row>
    <row r="1405" spans="23:31" x14ac:dyDescent="0.25">
      <c r="W1405">
        <v>73.900000000000006</v>
      </c>
      <c r="X1405">
        <v>71.141969596704598</v>
      </c>
      <c r="Y1405">
        <v>2.7580304032954075</v>
      </c>
      <c r="Z1405">
        <v>2.7682394245925792</v>
      </c>
      <c r="AA1405">
        <v>3.6879112429620731E-3</v>
      </c>
      <c r="AB1405">
        <v>0.74974256804235784</v>
      </c>
      <c r="AC1405">
        <v>1.8915451590697835E-4</v>
      </c>
      <c r="AD1405">
        <v>1.0386467129748296</v>
      </c>
      <c r="AE1405">
        <v>0.95112499572027187</v>
      </c>
    </row>
    <row r="1406" spans="23:31" x14ac:dyDescent="0.25">
      <c r="W1406">
        <v>71.400000000000006</v>
      </c>
      <c r="X1406">
        <v>72.165245565286014</v>
      </c>
      <c r="Y1406">
        <v>-0.7652455652860084</v>
      </c>
      <c r="Z1406">
        <v>-0.76652648671745283</v>
      </c>
      <c r="AA1406">
        <v>1.6710726291167986E-3</v>
      </c>
      <c r="AB1406">
        <v>-0.20781400579606185</v>
      </c>
      <c r="AC1406">
        <v>6.571713369284237E-6</v>
      </c>
      <c r="AD1406">
        <v>1.0386467129748296</v>
      </c>
      <c r="AE1406">
        <v>0.95164071481049128</v>
      </c>
    </row>
    <row r="1407" spans="23:31" x14ac:dyDescent="0.25">
      <c r="W1407">
        <v>71.2</v>
      </c>
      <c r="X1407">
        <v>72.153415026936614</v>
      </c>
      <c r="Y1407">
        <v>-0.95341502693661084</v>
      </c>
      <c r="Z1407">
        <v>-0.9548977167265349</v>
      </c>
      <c r="AA1407">
        <v>1.5527210547744354E-3</v>
      </c>
      <c r="AB1407">
        <v>-0.25889892299126149</v>
      </c>
      <c r="AC1407">
        <v>9.4762412083161114E-6</v>
      </c>
      <c r="AD1407">
        <v>1.0386467129748296</v>
      </c>
      <c r="AE1407">
        <v>0.95168699830309067</v>
      </c>
    </row>
    <row r="1408" spans="23:31" x14ac:dyDescent="0.25">
      <c r="W1408">
        <v>71.3</v>
      </c>
      <c r="X1408">
        <v>71.879667132317451</v>
      </c>
      <c r="Y1408">
        <v>-0.57966713231745359</v>
      </c>
      <c r="Z1408">
        <v>-0.58051619972961532</v>
      </c>
      <c r="AA1408">
        <v>1.4626076112323485E-3</v>
      </c>
      <c r="AB1408">
        <v>-0.15740094298593613</v>
      </c>
      <c r="AC1408">
        <v>3.2990239704515469E-6</v>
      </c>
      <c r="AD1408">
        <v>1.0464994400123697</v>
      </c>
      <c r="AE1408">
        <v>0.95999180797365369</v>
      </c>
    </row>
    <row r="1409" spans="23:31" x14ac:dyDescent="0.25">
      <c r="W1409">
        <v>76</v>
      </c>
      <c r="X1409">
        <v>71.713961231371556</v>
      </c>
      <c r="Y1409">
        <v>4.286038768628444</v>
      </c>
      <c r="Z1409">
        <v>4.2925443568335453</v>
      </c>
      <c r="AA1409">
        <v>1.5155552661315821E-3</v>
      </c>
      <c r="AB1409">
        <v>1.1638479966556798</v>
      </c>
      <c r="AC1409">
        <v>1.8690904396348655E-4</v>
      </c>
      <c r="AD1409">
        <v>1.0491313979639725</v>
      </c>
      <c r="AE1409">
        <v>0.9742951640850116</v>
      </c>
    </row>
    <row r="1410" spans="23:31" x14ac:dyDescent="0.25">
      <c r="W1410">
        <v>73</v>
      </c>
      <c r="X1410">
        <v>74.165487801154228</v>
      </c>
      <c r="Y1410">
        <v>-1.165487801154228</v>
      </c>
      <c r="Z1410">
        <v>-1.1685396614342807</v>
      </c>
      <c r="AA1410">
        <v>2.6116873742304532E-3</v>
      </c>
      <c r="AB1410">
        <v>-0.31665504730918143</v>
      </c>
      <c r="AC1410">
        <v>2.3869155797878675E-5</v>
      </c>
      <c r="AD1410">
        <v>1.0491313979639725</v>
      </c>
      <c r="AE1410">
        <v>0.97518364592012929</v>
      </c>
    </row>
    <row r="1411" spans="23:31" x14ac:dyDescent="0.25">
      <c r="W1411">
        <v>70</v>
      </c>
      <c r="X1411">
        <v>70.862001068915859</v>
      </c>
      <c r="Y1411">
        <v>-0.86200106891585904</v>
      </c>
      <c r="Z1411">
        <v>-0.86334380868724736</v>
      </c>
      <c r="AA1411">
        <v>1.5552781613504181E-3</v>
      </c>
      <c r="AB1411">
        <v>-0.23407585137103251</v>
      </c>
      <c r="AC1411">
        <v>7.7589791801585417E-6</v>
      </c>
      <c r="AD1411">
        <v>1.0491313979639725</v>
      </c>
      <c r="AE1411">
        <v>0.97714515758029485</v>
      </c>
    </row>
    <row r="1412" spans="23:31" x14ac:dyDescent="0.25">
      <c r="W1412">
        <v>69.8</v>
      </c>
      <c r="X1412">
        <v>70.258002019131197</v>
      </c>
      <c r="Y1412">
        <v>-0.4580020191312002</v>
      </c>
      <c r="Z1412">
        <v>-0.45869962221655669</v>
      </c>
      <c r="AA1412">
        <v>1.5208276867251067E-3</v>
      </c>
      <c r="AB1412">
        <v>-0.12436801638105234</v>
      </c>
      <c r="AC1412">
        <v>2.1417349809799138E-6</v>
      </c>
      <c r="AD1412">
        <v>1.0491313979639725</v>
      </c>
      <c r="AE1412">
        <v>0.98107327278279099</v>
      </c>
    </row>
    <row r="1413" spans="23:31" x14ac:dyDescent="0.25">
      <c r="W1413">
        <v>69.5</v>
      </c>
      <c r="X1413">
        <v>73.241720125337267</v>
      </c>
      <c r="Y1413">
        <v>-3.7417201253372667</v>
      </c>
      <c r="Z1413">
        <v>-3.7509691334298196</v>
      </c>
      <c r="AA1413">
        <v>2.4657649166262511E-3</v>
      </c>
      <c r="AB1413">
        <v>-1.0165253538416261</v>
      </c>
      <c r="AC1413">
        <v>2.3220288146712543E-4</v>
      </c>
      <c r="AD1413">
        <v>1.0491313979639725</v>
      </c>
      <c r="AE1413">
        <v>0.98415863411600957</v>
      </c>
    </row>
    <row r="1414" spans="23:31" x14ac:dyDescent="0.25">
      <c r="W1414">
        <v>69.3</v>
      </c>
      <c r="X1414">
        <v>69.605705759494256</v>
      </c>
      <c r="Y1414">
        <v>-0.30570575949425915</v>
      </c>
      <c r="Z1414">
        <v>-0.30623342576160439</v>
      </c>
      <c r="AA1414">
        <v>1.7230851466778626E-3</v>
      </c>
      <c r="AB1414">
        <v>-8.3021184785176325E-2</v>
      </c>
      <c r="AC1414">
        <v>1.0815357489205393E-6</v>
      </c>
      <c r="AD1414">
        <v>1.0491313979639725</v>
      </c>
      <c r="AE1414">
        <v>0.99309664690217658</v>
      </c>
    </row>
    <row r="1415" spans="23:31" x14ac:dyDescent="0.25">
      <c r="W1415">
        <v>68.900000000000006</v>
      </c>
      <c r="X1415">
        <v>72.665027014617735</v>
      </c>
      <c r="Y1415">
        <v>-3.7650270146177292</v>
      </c>
      <c r="Z1415">
        <v>-3.7751742577818987</v>
      </c>
      <c r="AA1415">
        <v>2.6878873586453278E-3</v>
      </c>
      <c r="AB1415">
        <v>-1.0229711123362022</v>
      </c>
      <c r="AC1415">
        <v>2.5639764129463258E-4</v>
      </c>
      <c r="AD1415">
        <v>1.0491313979639725</v>
      </c>
      <c r="AE1415">
        <v>0.99326935582447184</v>
      </c>
    </row>
    <row r="1416" spans="23:31" x14ac:dyDescent="0.25">
      <c r="W1416">
        <v>58.4</v>
      </c>
      <c r="X1416">
        <v>62.207240940975062</v>
      </c>
      <c r="Y1416">
        <v>-3.8072409409750634</v>
      </c>
      <c r="Z1416">
        <v>-3.8301436048108783</v>
      </c>
      <c r="AA1416">
        <v>5.9795835871659427E-3</v>
      </c>
      <c r="AB1416">
        <v>-1.0361521434120922</v>
      </c>
      <c r="AC1416">
        <v>5.8712423983081467E-4</v>
      </c>
      <c r="AD1416">
        <v>1.0491313979639725</v>
      </c>
      <c r="AE1416">
        <v>0.99953425011169694</v>
      </c>
    </row>
    <row r="1417" spans="23:31" x14ac:dyDescent="0.25">
      <c r="W1417">
        <v>57.6</v>
      </c>
      <c r="X1417">
        <v>60.953407464602364</v>
      </c>
      <c r="Y1417">
        <v>-3.3534074646023626</v>
      </c>
      <c r="Z1417">
        <v>-3.3760415326516053</v>
      </c>
      <c r="AA1417">
        <v>6.7043215642743851E-3</v>
      </c>
      <c r="AB1417">
        <v>-0.91297287333201227</v>
      </c>
      <c r="AC1417">
        <v>5.1144548955193883E-4</v>
      </c>
      <c r="AD1417">
        <v>1.0491313979639725</v>
      </c>
      <c r="AE1417">
        <v>0.99996504619782789</v>
      </c>
    </row>
    <row r="1418" spans="23:31" x14ac:dyDescent="0.25">
      <c r="W1418">
        <v>56.5</v>
      </c>
      <c r="X1418">
        <v>58.245103554695085</v>
      </c>
      <c r="Y1418">
        <v>-1.7451035546950848</v>
      </c>
      <c r="Z1418">
        <v>-1.7592956983056354</v>
      </c>
      <c r="AA1418">
        <v>8.0669461218026081E-3</v>
      </c>
      <c r="AB1418">
        <v>-0.47543466289704117</v>
      </c>
      <c r="AC1418">
        <v>1.6711513835338329E-4</v>
      </c>
      <c r="AD1418">
        <v>1.0491313979639725</v>
      </c>
      <c r="AE1418">
        <v>1.001118854559824</v>
      </c>
    </row>
    <row r="1419" spans="23:31" x14ac:dyDescent="0.25">
      <c r="W1419">
        <v>55</v>
      </c>
      <c r="X1419">
        <v>55.46144659330362</v>
      </c>
      <c r="Y1419">
        <v>-0.46144659330362003</v>
      </c>
      <c r="Z1419">
        <v>-0.46480741671274473</v>
      </c>
      <c r="AA1419">
        <v>7.2305718202444521E-3</v>
      </c>
      <c r="AB1419">
        <v>-0.12566318608983512</v>
      </c>
      <c r="AC1419">
        <v>1.0455569608261373E-5</v>
      </c>
      <c r="AD1419">
        <v>1.0491313979639725</v>
      </c>
      <c r="AE1419">
        <v>1.0015676755910621</v>
      </c>
    </row>
    <row r="1420" spans="23:31" x14ac:dyDescent="0.25">
      <c r="W1420">
        <v>53.6</v>
      </c>
      <c r="X1420">
        <v>52.92822512894881</v>
      </c>
      <c r="Y1420">
        <v>0.67177487105119127</v>
      </c>
      <c r="Z1420">
        <v>0.67734348282979795</v>
      </c>
      <c r="AA1420">
        <v>8.2212524660898144E-3</v>
      </c>
      <c r="AB1420">
        <v>0.18303206326614818</v>
      </c>
      <c r="AC1420">
        <v>2.5245550953866513E-5</v>
      </c>
      <c r="AD1420">
        <v>1.0491313979639725</v>
      </c>
      <c r="AE1420">
        <v>1.0020837327049783</v>
      </c>
    </row>
    <row r="1421" spans="23:31" x14ac:dyDescent="0.25">
      <c r="W1421">
        <v>52.6</v>
      </c>
      <c r="X1421">
        <v>54.816168807120619</v>
      </c>
      <c r="Y1421">
        <v>-2.2161688071206171</v>
      </c>
      <c r="Z1421">
        <v>-2.2891910984513828</v>
      </c>
      <c r="AA1421">
        <v>3.189873111954785E-2</v>
      </c>
      <c r="AB1421">
        <v>-0.61115766532279359</v>
      </c>
      <c r="AC1421">
        <v>1.1188360716377819E-3</v>
      </c>
      <c r="AD1421">
        <v>1.0491313979639725</v>
      </c>
      <c r="AE1421">
        <v>1.0037853223095203</v>
      </c>
    </row>
    <row r="1422" spans="23:31" x14ac:dyDescent="0.25">
      <c r="W1422">
        <v>51.4</v>
      </c>
      <c r="X1422">
        <v>44.043446784589435</v>
      </c>
      <c r="Y1422">
        <v>7.356553215410564</v>
      </c>
      <c r="Z1422">
        <v>7.5575485297962643</v>
      </c>
      <c r="AA1422">
        <v>2.659530581818409E-2</v>
      </c>
      <c r="AB1422">
        <v>2.0231984461287693</v>
      </c>
      <c r="AC1422">
        <v>1.0167070446891718E-2</v>
      </c>
      <c r="AD1422">
        <v>1.0491313979639725</v>
      </c>
      <c r="AE1422">
        <v>1.0064187566096869</v>
      </c>
    </row>
    <row r="1423" spans="23:31" x14ac:dyDescent="0.25">
      <c r="W1423">
        <v>50</v>
      </c>
      <c r="X1423">
        <v>51.068072024998138</v>
      </c>
      <c r="Y1423">
        <v>-1.0680720249981377</v>
      </c>
      <c r="Z1423">
        <v>-1.1178616422815111</v>
      </c>
      <c r="AA1423">
        <v>4.4540053437875704E-2</v>
      </c>
      <c r="AB1423">
        <v>-0.29648663239222817</v>
      </c>
      <c r="AC1423">
        <v>3.7252532061268122E-4</v>
      </c>
      <c r="AD1423">
        <v>1.0491313979639725</v>
      </c>
      <c r="AE1423">
        <v>1.0072957500271091</v>
      </c>
    </row>
    <row r="1424" spans="23:31" x14ac:dyDescent="0.25">
      <c r="W1424">
        <v>47.8</v>
      </c>
      <c r="X1424">
        <v>39.958964157296968</v>
      </c>
      <c r="Y1424">
        <v>7.8410358427030289</v>
      </c>
      <c r="Z1424">
        <v>8.0918706461839136</v>
      </c>
      <c r="AA1424">
        <v>3.0998370395253039E-2</v>
      </c>
      <c r="AB1424">
        <v>2.1613345971846458</v>
      </c>
      <c r="AC1424">
        <v>1.35851888981147E-2</v>
      </c>
      <c r="AD1424">
        <v>1.0491313979639725</v>
      </c>
      <c r="AE1424">
        <v>1.0074882843335904</v>
      </c>
    </row>
    <row r="1425" spans="23:31" x14ac:dyDescent="0.25">
      <c r="W1425">
        <v>46</v>
      </c>
      <c r="X1425">
        <v>46.374524395114413</v>
      </c>
      <c r="Y1425">
        <v>-0.37452439511441327</v>
      </c>
      <c r="Z1425">
        <v>-0.39958066694801175</v>
      </c>
      <c r="AA1425">
        <v>6.2706416766794615E-2</v>
      </c>
      <c r="AB1425">
        <v>-0.10496707838626659</v>
      </c>
      <c r="AC1425">
        <v>6.7011582547671085E-5</v>
      </c>
      <c r="AD1425">
        <v>1.0491313979639725</v>
      </c>
      <c r="AE1425">
        <v>1.0081548397039684</v>
      </c>
    </row>
    <row r="1426" spans="23:31" x14ac:dyDescent="0.25">
      <c r="W1426">
        <v>45.6</v>
      </c>
      <c r="X1426">
        <v>45.131265587648791</v>
      </c>
      <c r="Y1426">
        <v>0.46873441235121049</v>
      </c>
      <c r="Z1426">
        <v>0.50186083355448829</v>
      </c>
      <c r="AA1426">
        <v>6.6007185634827298E-2</v>
      </c>
      <c r="AB1426">
        <v>0.13160303080074645</v>
      </c>
      <c r="AC1426">
        <v>1.112722264949993E-4</v>
      </c>
      <c r="AD1426">
        <v>1.0950400512086551</v>
      </c>
      <c r="AE1426">
        <v>1.0084012204656174</v>
      </c>
    </row>
    <row r="1427" spans="23:31" x14ac:dyDescent="0.25">
      <c r="W1427">
        <v>45.9</v>
      </c>
      <c r="X1427">
        <v>45.826534083389959</v>
      </c>
      <c r="Y1427">
        <v>7.3465916610039983E-2</v>
      </c>
      <c r="Z1427">
        <v>7.9212778096838576E-2</v>
      </c>
      <c r="AA1427">
        <v>7.2549677272668325E-2</v>
      </c>
      <c r="AB1427">
        <v>2.0699096688854109E-2</v>
      </c>
      <c r="AC1427">
        <v>3.0468770491091589E-6</v>
      </c>
      <c r="AD1427">
        <v>1.0950400512086551</v>
      </c>
      <c r="AE1427">
        <v>1.009360733549943</v>
      </c>
    </row>
    <row r="1428" spans="23:31" x14ac:dyDescent="0.25">
      <c r="W1428">
        <v>46.4</v>
      </c>
      <c r="X1428">
        <v>35.812468474429465</v>
      </c>
      <c r="Y1428">
        <v>10.587531525570533</v>
      </c>
      <c r="Z1428">
        <v>11.049791203579993</v>
      </c>
      <c r="AA1428">
        <v>4.18342455068011E-2</v>
      </c>
      <c r="AB1428">
        <v>2.9348453015870097</v>
      </c>
      <c r="AC1428">
        <v>3.4187633458066115E-2</v>
      </c>
      <c r="AD1428">
        <v>1.0950400512086551</v>
      </c>
      <c r="AE1428">
        <v>1.0103338768900996</v>
      </c>
    </row>
    <row r="1429" spans="23:31" x14ac:dyDescent="0.25">
      <c r="W1429">
        <v>47.1</v>
      </c>
      <c r="X1429">
        <v>36.628582283983832</v>
      </c>
      <c r="Y1429">
        <v>10.47141771601617</v>
      </c>
      <c r="Z1429">
        <v>10.908919621649382</v>
      </c>
      <c r="AA1429">
        <v>4.01049710518507E-2</v>
      </c>
      <c r="AB1429">
        <v>2.9000429716534732</v>
      </c>
      <c r="AC1429">
        <v>3.1944099192127595E-2</v>
      </c>
      <c r="AD1429">
        <v>1.1033838166983498</v>
      </c>
      <c r="AE1429">
        <v>1.0190664797348585</v>
      </c>
    </row>
    <row r="1430" spans="23:31" x14ac:dyDescent="0.25">
      <c r="W1430">
        <v>48.4</v>
      </c>
      <c r="X1430">
        <v>38.360332780454591</v>
      </c>
      <c r="Y1430">
        <v>10.039667219545407</v>
      </c>
      <c r="Z1430">
        <v>10.418781254594613</v>
      </c>
      <c r="AA1430">
        <v>3.6387560673856956E-2</v>
      </c>
      <c r="AB1430">
        <v>2.7751019261193539</v>
      </c>
      <c r="AC1430">
        <v>2.6437217102263599E-2</v>
      </c>
      <c r="AD1430">
        <v>1.1033838166983498</v>
      </c>
      <c r="AE1430">
        <v>1.0221461541631578</v>
      </c>
    </row>
    <row r="1431" spans="23:31" x14ac:dyDescent="0.25">
      <c r="W1431">
        <v>82.3</v>
      </c>
      <c r="X1431">
        <v>80.020102680549854</v>
      </c>
      <c r="Y1431">
        <v>2.2798973194501428</v>
      </c>
      <c r="Z1431">
        <v>2.2932051301859673</v>
      </c>
      <c r="AA1431">
        <v>5.8031488594924843E-3</v>
      </c>
      <c r="AB1431">
        <v>0.62042589568649131</v>
      </c>
      <c r="AC1431">
        <v>2.0425771784498593E-4</v>
      </c>
      <c r="AD1431">
        <v>1.1033838166983498</v>
      </c>
      <c r="AE1431">
        <v>1.0222764308138221</v>
      </c>
    </row>
    <row r="1432" spans="23:31" x14ac:dyDescent="0.25">
      <c r="W1432">
        <v>81.900000000000006</v>
      </c>
      <c r="X1432">
        <v>79.960752176267079</v>
      </c>
      <c r="Y1432">
        <v>1.9392478237329271</v>
      </c>
      <c r="Z1432">
        <v>1.9505528498132776</v>
      </c>
      <c r="AA1432">
        <v>5.7958060871963531E-3</v>
      </c>
      <c r="AB1432">
        <v>0.52772338241326089</v>
      </c>
      <c r="AC1432">
        <v>1.4759044609436394E-4</v>
      </c>
      <c r="AD1432">
        <v>1.1118051137279645</v>
      </c>
      <c r="AE1432">
        <v>1.0255193482702929</v>
      </c>
    </row>
    <row r="1433" spans="23:31" x14ac:dyDescent="0.25">
      <c r="W1433">
        <v>81.7</v>
      </c>
      <c r="X1433">
        <v>84.360255317088033</v>
      </c>
      <c r="Y1433">
        <v>-2.6602553170880299</v>
      </c>
      <c r="Z1433">
        <v>-2.7305096589172138</v>
      </c>
      <c r="AA1433">
        <v>2.5729387771895061E-2</v>
      </c>
      <c r="AB1433">
        <v>-0.73129792062312271</v>
      </c>
      <c r="AC1433">
        <v>1.2839432887264406E-3</v>
      </c>
      <c r="AD1433">
        <v>1.1118051137279645</v>
      </c>
      <c r="AE1433">
        <v>1.0291575937744275</v>
      </c>
    </row>
    <row r="1434" spans="23:31" x14ac:dyDescent="0.25">
      <c r="W1434">
        <v>81.7</v>
      </c>
      <c r="X1434">
        <v>84.72524055866991</v>
      </c>
      <c r="Y1434">
        <v>-3.0252405586699069</v>
      </c>
      <c r="Z1434">
        <v>-3.1125458732680897</v>
      </c>
      <c r="AA1434">
        <v>2.8049486867967977E-2</v>
      </c>
      <c r="AB1434">
        <v>-0.83262348717882484</v>
      </c>
      <c r="AC1434">
        <v>1.8188018923352609E-3</v>
      </c>
      <c r="AD1434">
        <v>1.1118051137279645</v>
      </c>
      <c r="AE1434">
        <v>1.0314096730071776</v>
      </c>
    </row>
    <row r="1435" spans="23:31" x14ac:dyDescent="0.25">
      <c r="W1435">
        <v>73.8</v>
      </c>
      <c r="X1435">
        <v>69.274271118689697</v>
      </c>
      <c r="Y1435">
        <v>4.5257288813103003</v>
      </c>
      <c r="Z1435">
        <v>4.5753028155911011</v>
      </c>
      <c r="AA1435">
        <v>1.0835115462057518E-2</v>
      </c>
      <c r="AB1435">
        <v>1.2347101216099308</v>
      </c>
      <c r="AC1435">
        <v>1.5181063073506135E-3</v>
      </c>
      <c r="AD1435">
        <v>1.1118051137279645</v>
      </c>
      <c r="AE1435">
        <v>1.0317348844506129</v>
      </c>
    </row>
    <row r="1436" spans="23:31" x14ac:dyDescent="0.25">
      <c r="W1436">
        <v>73.7</v>
      </c>
      <c r="X1436">
        <v>69.064634129753287</v>
      </c>
      <c r="Y1436">
        <v>4.6353658702467158</v>
      </c>
      <c r="Z1436">
        <v>4.6851076915325223</v>
      </c>
      <c r="AA1436">
        <v>1.0617007027545046E-2</v>
      </c>
      <c r="AB1436">
        <v>1.2644819036441088</v>
      </c>
      <c r="AC1436">
        <v>1.5598046680222494E-3</v>
      </c>
      <c r="AD1436">
        <v>1.1231576917613038</v>
      </c>
      <c r="AE1436">
        <v>1.0331714527000515</v>
      </c>
    </row>
    <row r="1437" spans="23:31" x14ac:dyDescent="0.25">
      <c r="W1437">
        <v>73.5</v>
      </c>
      <c r="X1437">
        <v>68.488570329384231</v>
      </c>
      <c r="Y1437">
        <v>5.0114296706157688</v>
      </c>
      <c r="Z1437">
        <v>5.0637850379958849</v>
      </c>
      <c r="AA1437">
        <v>1.0339176522556032E-2</v>
      </c>
      <c r="AB1437">
        <v>1.3668764799741737</v>
      </c>
      <c r="AC1437">
        <v>1.7744567870268712E-3</v>
      </c>
      <c r="AD1437">
        <v>1.1231576917613038</v>
      </c>
      <c r="AE1437">
        <v>1.0335449329299407</v>
      </c>
    </row>
    <row r="1438" spans="23:31" x14ac:dyDescent="0.25">
      <c r="W1438">
        <v>73.2</v>
      </c>
      <c r="X1438">
        <v>69.424253089106031</v>
      </c>
      <c r="Y1438">
        <v>3.7757469108939716</v>
      </c>
      <c r="Z1438">
        <v>3.783233975719881</v>
      </c>
      <c r="AA1438">
        <v>1.9790118385370433E-3</v>
      </c>
      <c r="AB1438">
        <v>1.0255193482702929</v>
      </c>
      <c r="AC1438">
        <v>1.8958490251343461E-4</v>
      </c>
      <c r="AD1438">
        <v>1.128888636463274</v>
      </c>
      <c r="AE1438">
        <v>1.034416482569773</v>
      </c>
    </row>
    <row r="1439" spans="23:31" x14ac:dyDescent="0.25">
      <c r="W1439">
        <v>73</v>
      </c>
      <c r="X1439">
        <v>69.038947721283421</v>
      </c>
      <c r="Y1439">
        <v>3.9610522787165792</v>
      </c>
      <c r="Z1439">
        <v>3.9683246379863419</v>
      </c>
      <c r="AA1439">
        <v>1.8326018995881155E-3</v>
      </c>
      <c r="AB1439">
        <v>1.0757706810822025</v>
      </c>
      <c r="AC1439">
        <v>1.9315745477826556E-4</v>
      </c>
      <c r="AD1439">
        <v>1.128888636463274</v>
      </c>
      <c r="AE1439">
        <v>1.0355757560995618</v>
      </c>
    </row>
    <row r="1440" spans="23:31" x14ac:dyDescent="0.25">
      <c r="W1440">
        <v>72.8</v>
      </c>
      <c r="X1440">
        <v>68.881998584051971</v>
      </c>
      <c r="Y1440">
        <v>3.9180014159480265</v>
      </c>
      <c r="Z1440">
        <v>3.9254078448589809</v>
      </c>
      <c r="AA1440">
        <v>1.8867922019008537E-3</v>
      </c>
      <c r="AB1440">
        <v>1.0641075078110942</v>
      </c>
      <c r="AC1440">
        <v>1.9459093268680341E-4</v>
      </c>
      <c r="AD1440">
        <v>1.128888636463274</v>
      </c>
      <c r="AE1440">
        <v>1.0364711937977875</v>
      </c>
    </row>
    <row r="1441" spans="23:31" x14ac:dyDescent="0.25">
      <c r="W1441">
        <v>72.7</v>
      </c>
      <c r="X1441">
        <v>68.642133867671802</v>
      </c>
      <c r="Y1441">
        <v>4.0578661323282006</v>
      </c>
      <c r="Z1441">
        <v>4.0654364549361333</v>
      </c>
      <c r="AA1441">
        <v>1.8621180510000855E-3</v>
      </c>
      <c r="AB1441">
        <v>1.1020803688968555</v>
      </c>
      <c r="AC1441">
        <v>2.0599207832029245E-4</v>
      </c>
      <c r="AD1441">
        <v>1.128888636463274</v>
      </c>
      <c r="AE1441">
        <v>1.0379268557880517</v>
      </c>
    </row>
    <row r="1442" spans="23:31" x14ac:dyDescent="0.25">
      <c r="W1442">
        <v>72.599999999999994</v>
      </c>
      <c r="X1442">
        <v>68.519714877575851</v>
      </c>
      <c r="Y1442">
        <v>4.0802851224241437</v>
      </c>
      <c r="Z1442">
        <v>4.0879983450810187</v>
      </c>
      <c r="AA1442">
        <v>1.8867969127603209E-3</v>
      </c>
      <c r="AB1442">
        <v>1.1081828672532876</v>
      </c>
      <c r="AC1442">
        <v>2.110452269506524E-4</v>
      </c>
      <c r="AD1442">
        <v>1.1404631659072275</v>
      </c>
      <c r="AE1442">
        <v>1.0418930808419591</v>
      </c>
    </row>
    <row r="1443" spans="23:31" x14ac:dyDescent="0.25">
      <c r="W1443">
        <v>69.599999999999994</v>
      </c>
      <c r="X1443">
        <v>69.926427071967353</v>
      </c>
      <c r="Y1443">
        <v>-0.32642707196735898</v>
      </c>
      <c r="Z1443">
        <v>-0.32717135556123367</v>
      </c>
      <c r="AA1443">
        <v>2.2749045147757671E-3</v>
      </c>
      <c r="AB1443">
        <v>-8.8673028505561483E-2</v>
      </c>
      <c r="AC1443">
        <v>1.6298313764885999E-6</v>
      </c>
      <c r="AD1443">
        <v>1.1404631659072275</v>
      </c>
      <c r="AE1443">
        <v>1.0484261653353975</v>
      </c>
    </row>
    <row r="1444" spans="23:31" x14ac:dyDescent="0.25">
      <c r="W1444">
        <v>69.3</v>
      </c>
      <c r="X1444">
        <v>69.695672122979531</v>
      </c>
      <c r="Y1444">
        <v>-0.39567212297953347</v>
      </c>
      <c r="Z1444">
        <v>-0.39653379210913897</v>
      </c>
      <c r="AA1444">
        <v>2.1730030246018034E-3</v>
      </c>
      <c r="AB1444">
        <v>-0.10747777033338742</v>
      </c>
      <c r="AC1444">
        <v>2.2869132579094214E-6</v>
      </c>
      <c r="AD1444">
        <v>1.1404631659072275</v>
      </c>
      <c r="AE1444">
        <v>1.0520643107810679</v>
      </c>
    </row>
    <row r="1445" spans="23:31" x14ac:dyDescent="0.25">
      <c r="W1445">
        <v>68.8</v>
      </c>
      <c r="X1445">
        <v>69.474804781690864</v>
      </c>
      <c r="Y1445">
        <v>-0.67480478169086666</v>
      </c>
      <c r="Z1445">
        <v>-0.67615249208560613</v>
      </c>
      <c r="AA1445">
        <v>1.9932048029254047E-3</v>
      </c>
      <c r="AB1445">
        <v>-0.18328301578393266</v>
      </c>
      <c r="AC1445">
        <v>6.0991622411470895E-6</v>
      </c>
      <c r="AD1445">
        <v>1.1404631659072275</v>
      </c>
      <c r="AE1445">
        <v>1.0553801880788383</v>
      </c>
    </row>
    <row r="1446" spans="23:31" x14ac:dyDescent="0.25">
      <c r="W1446">
        <v>68.099999999999994</v>
      </c>
      <c r="X1446">
        <v>69.331960280502116</v>
      </c>
      <c r="Y1446">
        <v>-1.2319602805021219</v>
      </c>
      <c r="Z1446">
        <v>-1.2342383969687631</v>
      </c>
      <c r="AA1446">
        <v>1.8457669703373667E-3</v>
      </c>
      <c r="AB1446">
        <v>-0.33458672008064805</v>
      </c>
      <c r="AC1446">
        <v>1.8819320184977711E-5</v>
      </c>
      <c r="AD1446">
        <v>1.1521925343545227</v>
      </c>
      <c r="AE1446">
        <v>1.0554132228208433</v>
      </c>
    </row>
    <row r="1447" spans="23:31" x14ac:dyDescent="0.25">
      <c r="W1447">
        <v>67.3</v>
      </c>
      <c r="X1447">
        <v>69.119204922317422</v>
      </c>
      <c r="Y1447">
        <v>-1.8192049223174251</v>
      </c>
      <c r="Z1447">
        <v>-1.8224536823005906</v>
      </c>
      <c r="AA1447">
        <v>1.7826296573187845E-3</v>
      </c>
      <c r="AB1447">
        <v>-0.49406021270303119</v>
      </c>
      <c r="AC1447">
        <v>3.9628084600987315E-5</v>
      </c>
      <c r="AD1447">
        <v>1.1521925343545227</v>
      </c>
      <c r="AE1447">
        <v>1.055661371762191</v>
      </c>
    </row>
    <row r="1448" spans="23:31" x14ac:dyDescent="0.25">
      <c r="W1448">
        <v>66.7</v>
      </c>
      <c r="X1448">
        <v>68.982556244679841</v>
      </c>
      <c r="Y1448">
        <v>-2.2825562446798386</v>
      </c>
      <c r="Z1448">
        <v>-2.2864894494992427</v>
      </c>
      <c r="AA1448">
        <v>1.720193732042793E-3</v>
      </c>
      <c r="AB1448">
        <v>-0.61987791676233939</v>
      </c>
      <c r="AC1448">
        <v>6.0192824025739403E-5</v>
      </c>
      <c r="AD1448">
        <v>1.1521925343545227</v>
      </c>
      <c r="AE1448">
        <v>1.0560043975908444</v>
      </c>
    </row>
    <row r="1449" spans="23:31" x14ac:dyDescent="0.25">
      <c r="W1449">
        <v>66.400000000000006</v>
      </c>
      <c r="X1449">
        <v>68.280198999065192</v>
      </c>
      <c r="Y1449">
        <v>-1.8801989990651862</v>
      </c>
      <c r="Z1449">
        <v>-1.883078710221497</v>
      </c>
      <c r="AA1449">
        <v>1.5292569241424142E-3</v>
      </c>
      <c r="AB1449">
        <v>-0.51056020975300942</v>
      </c>
      <c r="AC1449">
        <v>3.6294962927038197E-5</v>
      </c>
      <c r="AD1449">
        <v>1.1521925343545227</v>
      </c>
      <c r="AE1449">
        <v>1.0573535203244517</v>
      </c>
    </row>
    <row r="1450" spans="23:31" x14ac:dyDescent="0.25">
      <c r="W1450">
        <v>66.099999999999994</v>
      </c>
      <c r="X1450">
        <v>68.211966482213654</v>
      </c>
      <c r="Y1450">
        <v>-2.1119664822136599</v>
      </c>
      <c r="Z1450">
        <v>-2.1151289212935751</v>
      </c>
      <c r="AA1450">
        <v>1.4951519257644739E-3</v>
      </c>
      <c r="AB1450">
        <v>-0.57348591054668108</v>
      </c>
      <c r="AC1450">
        <v>4.4770089923979463E-5</v>
      </c>
      <c r="AD1450">
        <v>1.1521925343545227</v>
      </c>
      <c r="AE1450">
        <v>1.0579530782177962</v>
      </c>
    </row>
    <row r="1451" spans="23:31" x14ac:dyDescent="0.25">
      <c r="W1451">
        <v>65.900000000000006</v>
      </c>
      <c r="X1451">
        <v>67.8524027049626</v>
      </c>
      <c r="Y1451">
        <v>-1.9524027049625943</v>
      </c>
      <c r="Z1451">
        <v>-1.9552469302832094</v>
      </c>
      <c r="AA1451">
        <v>1.454662977119004E-3</v>
      </c>
      <c r="AB1451">
        <v>-0.53014702266657565</v>
      </c>
      <c r="AC1451">
        <v>3.7221559574836135E-5</v>
      </c>
      <c r="AD1451">
        <v>1.1521925343545227</v>
      </c>
      <c r="AE1451">
        <v>1.0641075078110942</v>
      </c>
    </row>
    <row r="1452" spans="23:31" x14ac:dyDescent="0.25">
      <c r="W1452">
        <v>65.5</v>
      </c>
      <c r="X1452">
        <v>67.50837193347337</v>
      </c>
      <c r="Y1452">
        <v>-2.0083719334733701</v>
      </c>
      <c r="Z1452">
        <v>-2.0114000859291963</v>
      </c>
      <c r="AA1452">
        <v>1.5054948426303154E-3</v>
      </c>
      <c r="AB1452">
        <v>-0.54535854711514486</v>
      </c>
      <c r="AC1452">
        <v>4.0766662288949806E-5</v>
      </c>
      <c r="AD1452">
        <v>1.1700898139672218</v>
      </c>
      <c r="AE1452">
        <v>1.0647506205521868</v>
      </c>
    </row>
    <row r="1453" spans="23:31" x14ac:dyDescent="0.25">
      <c r="W1453">
        <v>65.900000000000006</v>
      </c>
      <c r="X1453">
        <v>67.629372220859153</v>
      </c>
      <c r="Y1453">
        <v>-1.7293722208591475</v>
      </c>
      <c r="Z1453">
        <v>-1.7318877984278771</v>
      </c>
      <c r="AA1453">
        <v>1.4525060867185571E-3</v>
      </c>
      <c r="AB1453">
        <v>-0.46958577831296644</v>
      </c>
      <c r="AC1453">
        <v>2.9159926227259204E-5</v>
      </c>
      <c r="AD1453">
        <v>1.1700898139672218</v>
      </c>
      <c r="AE1453">
        <v>1.0713458345943756</v>
      </c>
    </row>
    <row r="1454" spans="23:31" x14ac:dyDescent="0.25">
      <c r="W1454">
        <v>65.2</v>
      </c>
      <c r="X1454">
        <v>66.942440705443659</v>
      </c>
      <c r="Y1454">
        <v>-1.7424407054436557</v>
      </c>
      <c r="Z1454">
        <v>-1.7452852711690525</v>
      </c>
      <c r="AA1454">
        <v>1.6298571771552663E-3</v>
      </c>
      <c r="AB1454">
        <v>-0.47317635657831253</v>
      </c>
      <c r="AC1454">
        <v>3.3228547019302462E-5</v>
      </c>
      <c r="AD1454">
        <v>1.1700898139672218</v>
      </c>
      <c r="AE1454">
        <v>1.0726714293457857</v>
      </c>
    </row>
    <row r="1455" spans="23:31" x14ac:dyDescent="0.25">
      <c r="W1455">
        <v>64.3</v>
      </c>
      <c r="X1455">
        <v>66.322383018950845</v>
      </c>
      <c r="Y1455">
        <v>-2.0223830189508476</v>
      </c>
      <c r="Z1455">
        <v>-2.0257295840159344</v>
      </c>
      <c r="AA1455">
        <v>1.6520295164205666E-3</v>
      </c>
      <c r="AB1455">
        <v>-0.54920345459163633</v>
      </c>
      <c r="AC1455">
        <v>4.5374274980292086E-5</v>
      </c>
      <c r="AD1455">
        <v>1.1700898139672218</v>
      </c>
      <c r="AE1455">
        <v>1.0743300185720228</v>
      </c>
    </row>
    <row r="1456" spans="23:31" x14ac:dyDescent="0.25">
      <c r="W1456">
        <v>74.599999999999994</v>
      </c>
      <c r="X1456">
        <v>72.806120646609415</v>
      </c>
      <c r="Y1456">
        <v>1.7938793533905795</v>
      </c>
      <c r="Z1456">
        <v>1.7973575159560653</v>
      </c>
      <c r="AA1456">
        <v>1.9351534319763971E-3</v>
      </c>
      <c r="AB1456">
        <v>0.487219511233424</v>
      </c>
      <c r="AC1456">
        <v>4.1842083668631739E-5</v>
      </c>
      <c r="AD1456">
        <v>1.1700898139672218</v>
      </c>
      <c r="AE1456">
        <v>1.0757706810822025</v>
      </c>
    </row>
    <row r="1457" spans="23:31" x14ac:dyDescent="0.25">
      <c r="W1457">
        <v>74.5</v>
      </c>
      <c r="X1457">
        <v>72.687164307001723</v>
      </c>
      <c r="Y1457">
        <v>1.8128356929982772</v>
      </c>
      <c r="Z1457">
        <v>1.8165763405658595</v>
      </c>
      <c r="AA1457">
        <v>2.0591744393268748E-3</v>
      </c>
      <c r="AB1457">
        <v>0.49239866696726448</v>
      </c>
      <c r="AC1457">
        <v>4.5480936708562073E-5</v>
      </c>
      <c r="AD1457">
        <v>1.1852957183684145</v>
      </c>
      <c r="AE1457">
        <v>1.0763271708636448</v>
      </c>
    </row>
    <row r="1458" spans="23:31" x14ac:dyDescent="0.25">
      <c r="W1458">
        <v>74.3</v>
      </c>
      <c r="X1458">
        <v>71.6633546610569</v>
      </c>
      <c r="Y1458">
        <v>2.6366453389430973</v>
      </c>
      <c r="Z1458">
        <v>2.6514017424641452</v>
      </c>
      <c r="AA1458">
        <v>5.5655102298185705E-3</v>
      </c>
      <c r="AB1458">
        <v>0.71742159737544287</v>
      </c>
      <c r="AC1458">
        <v>2.6186955787017076E-4</v>
      </c>
      <c r="AD1458">
        <v>1.1852957183684145</v>
      </c>
      <c r="AE1458">
        <v>1.0774720653350645</v>
      </c>
    </row>
    <row r="1459" spans="23:31" x14ac:dyDescent="0.25">
      <c r="W1459">
        <v>74.099999999999994</v>
      </c>
      <c r="X1459">
        <v>72.135217598143754</v>
      </c>
      <c r="Y1459">
        <v>1.9647824018562403</v>
      </c>
      <c r="Z1459">
        <v>1.9686876926215433</v>
      </c>
      <c r="AA1459">
        <v>1.9837025344037491E-3</v>
      </c>
      <c r="AB1459">
        <v>0.53364993758253165</v>
      </c>
      <c r="AC1459">
        <v>5.1458740902565896E-5</v>
      </c>
      <c r="AD1459">
        <v>1.1852957183684145</v>
      </c>
      <c r="AE1459">
        <v>1.0776694405459351</v>
      </c>
    </row>
    <row r="1460" spans="23:31" x14ac:dyDescent="0.25">
      <c r="W1460">
        <v>73.900000000000006</v>
      </c>
      <c r="X1460">
        <v>71.438670842815554</v>
      </c>
      <c r="Y1460">
        <v>2.4613291571844513</v>
      </c>
      <c r="Z1460">
        <v>2.4670377532234227</v>
      </c>
      <c r="AA1460">
        <v>2.3139475800544739E-3</v>
      </c>
      <c r="AB1460">
        <v>0.66862647048291202</v>
      </c>
      <c r="AC1460">
        <v>9.4261438321318556E-5</v>
      </c>
      <c r="AD1460">
        <v>1.1852957183684145</v>
      </c>
      <c r="AE1460">
        <v>1.082271708820953</v>
      </c>
    </row>
    <row r="1461" spans="23:31" x14ac:dyDescent="0.25">
      <c r="W1461">
        <v>73.7</v>
      </c>
      <c r="X1461">
        <v>74.025884052235639</v>
      </c>
      <c r="Y1461">
        <v>-0.32588405223563655</v>
      </c>
      <c r="Z1461">
        <v>-0.32695396541038235</v>
      </c>
      <c r="AA1461">
        <v>3.2723664122065355E-3</v>
      </c>
      <c r="AB1461">
        <v>-8.8569802958770927E-2</v>
      </c>
      <c r="AC1461">
        <v>2.3413379217820398E-6</v>
      </c>
      <c r="AD1461">
        <v>1.1852957183684145</v>
      </c>
      <c r="AE1461">
        <v>1.0826816849637861</v>
      </c>
    </row>
    <row r="1462" spans="23:31" x14ac:dyDescent="0.25">
      <c r="W1462">
        <v>73.5</v>
      </c>
      <c r="X1462">
        <v>71.193476171070898</v>
      </c>
      <c r="Y1462">
        <v>2.3065238289291017</v>
      </c>
      <c r="Z1462">
        <v>2.3115547276408535</v>
      </c>
      <c r="AA1462">
        <v>2.1764134119766241E-3</v>
      </c>
      <c r="AB1462">
        <v>0.62653001714296586</v>
      </c>
      <c r="AC1462">
        <v>7.7835677268467019E-5</v>
      </c>
      <c r="AD1462">
        <v>1.1852957183684145</v>
      </c>
      <c r="AE1462">
        <v>1.0828758832236249</v>
      </c>
    </row>
    <row r="1463" spans="23:31" x14ac:dyDescent="0.25">
      <c r="W1463">
        <v>73.3</v>
      </c>
      <c r="X1463">
        <v>70.248528996137125</v>
      </c>
      <c r="Y1463">
        <v>3.0514710038628721</v>
      </c>
      <c r="Z1463">
        <v>3.0588765014771013</v>
      </c>
      <c r="AA1463">
        <v>2.4209861400613991E-3</v>
      </c>
      <c r="AB1463">
        <v>0.82898450956244574</v>
      </c>
      <c r="AC1463">
        <v>1.5161603832044451E-4</v>
      </c>
      <c r="AD1463">
        <v>1.1852957183684145</v>
      </c>
      <c r="AE1463">
        <v>1.0832462825907172</v>
      </c>
    </row>
    <row r="1464" spans="23:31" x14ac:dyDescent="0.25">
      <c r="W1464">
        <v>73</v>
      </c>
      <c r="X1464">
        <v>70.149139190129844</v>
      </c>
      <c r="Y1464">
        <v>2.8508608098701558</v>
      </c>
      <c r="Z1464">
        <v>2.8580820724914844</v>
      </c>
      <c r="AA1464">
        <v>2.526611356207653E-3</v>
      </c>
      <c r="AB1464">
        <v>0.77452630983990944</v>
      </c>
      <c r="AC1464">
        <v>1.381391534807994E-4</v>
      </c>
      <c r="AD1464">
        <v>1.2070560687293583</v>
      </c>
      <c r="AE1464">
        <v>1.0931242519878854</v>
      </c>
    </row>
    <row r="1465" spans="23:31" x14ac:dyDescent="0.25">
      <c r="W1465">
        <v>72.5</v>
      </c>
      <c r="X1465">
        <v>69.483367821998101</v>
      </c>
      <c r="Y1465">
        <v>3.016632178001899</v>
      </c>
      <c r="Z1465">
        <v>3.0246367921140092</v>
      </c>
      <c r="AA1465">
        <v>2.6464711839061152E-3</v>
      </c>
      <c r="AB1465">
        <v>0.81961257881230054</v>
      </c>
      <c r="AC1465">
        <v>1.6204759345976813E-4</v>
      </c>
      <c r="AD1465">
        <v>1.2070560687293583</v>
      </c>
      <c r="AE1465">
        <v>1.0932954056772162</v>
      </c>
    </row>
    <row r="1466" spans="23:31" x14ac:dyDescent="0.25">
      <c r="W1466">
        <v>71.599999999999994</v>
      </c>
      <c r="X1466">
        <v>69.050163028703793</v>
      </c>
      <c r="Y1466">
        <v>2.5498369712962017</v>
      </c>
      <c r="Z1466">
        <v>2.5567760581964336</v>
      </c>
      <c r="AA1466">
        <v>2.713998700817199E-3</v>
      </c>
      <c r="AB1466">
        <v>0.69280876330099284</v>
      </c>
      <c r="AC1466">
        <v>1.1874736245434623E-4</v>
      </c>
      <c r="AD1466">
        <v>1.2070560687293583</v>
      </c>
      <c r="AE1466">
        <v>1.0995756036594142</v>
      </c>
    </row>
    <row r="1467" spans="23:31" x14ac:dyDescent="0.25">
      <c r="W1467">
        <v>71.7</v>
      </c>
      <c r="X1467">
        <v>68.114773001056705</v>
      </c>
      <c r="Y1467">
        <v>3.5852269989432983</v>
      </c>
      <c r="Z1467">
        <v>3.6027532660870492</v>
      </c>
      <c r="AA1467">
        <v>4.8646870460800854E-3</v>
      </c>
      <c r="AB1467">
        <v>0.97518364592012929</v>
      </c>
      <c r="AC1467">
        <v>4.2262278011895592E-4</v>
      </c>
      <c r="AD1467">
        <v>1.2070560687293583</v>
      </c>
      <c r="AE1467">
        <v>1.1006720575600959</v>
      </c>
    </row>
    <row r="1468" spans="23:31" x14ac:dyDescent="0.25">
      <c r="W1468">
        <v>71.400000000000006</v>
      </c>
      <c r="X1468">
        <v>67.485384070929058</v>
      </c>
      <c r="Y1468">
        <v>3.9146159290709477</v>
      </c>
      <c r="Z1468">
        <v>3.9335529867773289</v>
      </c>
      <c r="AA1468">
        <v>4.8142373498040996E-3</v>
      </c>
      <c r="AB1468">
        <v>1.0647506205521868</v>
      </c>
      <c r="AC1468">
        <v>4.9857036693974296E-4</v>
      </c>
      <c r="AD1468">
        <v>1.2070560687293583</v>
      </c>
      <c r="AE1468">
        <v>1.1010138175516835</v>
      </c>
    </row>
    <row r="1469" spans="23:31" x14ac:dyDescent="0.25">
      <c r="W1469">
        <v>71.2</v>
      </c>
      <c r="X1469">
        <v>67.734661414124176</v>
      </c>
      <c r="Y1469">
        <v>3.465338585875827</v>
      </c>
      <c r="Z1469">
        <v>3.4755138865347703</v>
      </c>
      <c r="AA1469">
        <v>2.927711121617401E-3</v>
      </c>
      <c r="AB1469">
        <v>0.94165793689174893</v>
      </c>
      <c r="AC1469">
        <v>2.3669835166404861E-4</v>
      </c>
      <c r="AD1469">
        <v>1.2070560687293583</v>
      </c>
      <c r="AE1469">
        <v>1.1020803688968555</v>
      </c>
    </row>
    <row r="1470" spans="23:31" x14ac:dyDescent="0.25">
      <c r="W1470">
        <v>71.099999999999994</v>
      </c>
      <c r="X1470">
        <v>67.286037151306829</v>
      </c>
      <c r="Y1470">
        <v>3.8139628486931656</v>
      </c>
      <c r="Z1470">
        <v>3.8257481286548511</v>
      </c>
      <c r="AA1470">
        <v>3.0805164285169747E-3</v>
      </c>
      <c r="AB1470">
        <v>1.0364711937977875</v>
      </c>
      <c r="AC1470">
        <v>3.0177637202959487E-4</v>
      </c>
      <c r="AD1470">
        <v>1.2070560687293583</v>
      </c>
      <c r="AE1470">
        <v>1.1027199357936399</v>
      </c>
    </row>
    <row r="1471" spans="23:31" x14ac:dyDescent="0.25">
      <c r="W1471">
        <v>68</v>
      </c>
      <c r="X1471">
        <v>69.444064735884496</v>
      </c>
      <c r="Y1471">
        <v>-1.4440647358844956</v>
      </c>
      <c r="Z1471">
        <v>-1.4519812948130664</v>
      </c>
      <c r="AA1471">
        <v>5.45224580843058E-3</v>
      </c>
      <c r="AB1471">
        <v>-0.39290238233973501</v>
      </c>
      <c r="AC1471">
        <v>7.693543707205736E-5</v>
      </c>
      <c r="AD1471">
        <v>1.2294035019788656</v>
      </c>
      <c r="AE1471">
        <v>1.1081828672532876</v>
      </c>
    </row>
    <row r="1472" spans="23:31" x14ac:dyDescent="0.25">
      <c r="W1472">
        <v>67.7</v>
      </c>
      <c r="X1472">
        <v>69.542361470751189</v>
      </c>
      <c r="Y1472">
        <v>-1.8423614707511859</v>
      </c>
      <c r="Z1472">
        <v>-1.8527796905377869</v>
      </c>
      <c r="AA1472">
        <v>5.6230213661195797E-3</v>
      </c>
      <c r="AB1472">
        <v>-0.50131434509221773</v>
      </c>
      <c r="AC1472">
        <v>1.2919516223512824E-4</v>
      </c>
      <c r="AD1472">
        <v>1.2294035019788656</v>
      </c>
      <c r="AE1472">
        <v>1.1109047932716201</v>
      </c>
    </row>
    <row r="1473" spans="23:31" x14ac:dyDescent="0.25">
      <c r="W1473">
        <v>67.400000000000006</v>
      </c>
      <c r="X1473">
        <v>69.508480384126599</v>
      </c>
      <c r="Y1473">
        <v>-2.1084803841265938</v>
      </c>
      <c r="Z1473">
        <v>-2.1209123257302736</v>
      </c>
      <c r="AA1473">
        <v>5.8616009029953137E-3</v>
      </c>
      <c r="AB1473">
        <v>-0.57379526557946814</v>
      </c>
      <c r="AC1473">
        <v>1.7647802399665811E-4</v>
      </c>
      <c r="AD1473">
        <v>1.2294035019788656</v>
      </c>
      <c r="AE1473">
        <v>1.1138444055987247</v>
      </c>
    </row>
    <row r="1474" spans="23:31" x14ac:dyDescent="0.25">
      <c r="W1474">
        <v>67.2</v>
      </c>
      <c r="X1474">
        <v>68.91103141298548</v>
      </c>
      <c r="Y1474">
        <v>-1.7110314129854771</v>
      </c>
      <c r="Z1474">
        <v>-1.7222474753675243</v>
      </c>
      <c r="AA1474">
        <v>6.5124568579499878E-3</v>
      </c>
      <c r="AB1474">
        <v>-0.46578724297088603</v>
      </c>
      <c r="AC1474">
        <v>1.2928999772213051E-4</v>
      </c>
      <c r="AD1474">
        <v>1.2294035019788656</v>
      </c>
      <c r="AE1474">
        <v>1.1170060523385186</v>
      </c>
    </row>
    <row r="1475" spans="23:31" x14ac:dyDescent="0.25">
      <c r="W1475">
        <v>66.900000000000006</v>
      </c>
      <c r="X1475">
        <v>68.86017827204202</v>
      </c>
      <c r="Y1475">
        <v>-1.9601782720420147</v>
      </c>
      <c r="Z1475">
        <v>-1.9723918777240641</v>
      </c>
      <c r="AA1475">
        <v>6.1922814730656422E-3</v>
      </c>
      <c r="AB1475">
        <v>-0.53352553280423143</v>
      </c>
      <c r="AC1475">
        <v>1.6123749970651998E-4</v>
      </c>
      <c r="AD1475">
        <v>1.2294035019788656</v>
      </c>
      <c r="AE1475">
        <v>1.1182102808313448</v>
      </c>
    </row>
    <row r="1476" spans="23:31" x14ac:dyDescent="0.25">
      <c r="W1476">
        <v>66.599999999999994</v>
      </c>
      <c r="X1476">
        <v>68.552438516848326</v>
      </c>
      <c r="Y1476">
        <v>-1.952438516848332</v>
      </c>
      <c r="Z1476">
        <v>-1.9634834697306474</v>
      </c>
      <c r="AA1476">
        <v>5.6251825149429948E-3</v>
      </c>
      <c r="AB1476">
        <v>-0.53126735202544939</v>
      </c>
      <c r="AC1476">
        <v>1.4515101322806493E-4</v>
      </c>
      <c r="AD1476">
        <v>1.2457497672431228</v>
      </c>
      <c r="AE1476">
        <v>1.1225395108892136</v>
      </c>
    </row>
    <row r="1477" spans="23:31" x14ac:dyDescent="0.25">
      <c r="W1477">
        <v>66.2</v>
      </c>
      <c r="X1477">
        <v>67.888608797422705</v>
      </c>
      <c r="Y1477">
        <v>-1.6886087974227024</v>
      </c>
      <c r="Z1477">
        <v>-1.6982280303059127</v>
      </c>
      <c r="AA1477">
        <v>5.6642763583859322E-3</v>
      </c>
      <c r="AB1477">
        <v>-0.45948712442810441</v>
      </c>
      <c r="AC1477">
        <v>1.0933655829268353E-4</v>
      </c>
      <c r="AD1477">
        <v>1.2457497672431228</v>
      </c>
      <c r="AE1477">
        <v>1.1250090039659637</v>
      </c>
    </row>
    <row r="1478" spans="23:31" x14ac:dyDescent="0.25">
      <c r="W1478">
        <v>59.7</v>
      </c>
      <c r="X1478">
        <v>65.476524504961645</v>
      </c>
      <c r="Y1478">
        <v>-5.7765245049616425</v>
      </c>
      <c r="Z1478">
        <v>-5.7981004947552606</v>
      </c>
      <c r="AA1478">
        <v>3.7212169421913738E-3</v>
      </c>
      <c r="AB1478">
        <v>-1.5703157957378191</v>
      </c>
      <c r="AC1478">
        <v>8.3730834832851451E-4</v>
      </c>
      <c r="AD1478">
        <v>1.2457497672431228</v>
      </c>
      <c r="AE1478">
        <v>1.1288270285554256</v>
      </c>
    </row>
    <row r="1479" spans="23:31" x14ac:dyDescent="0.25">
      <c r="W1479">
        <v>59.4</v>
      </c>
      <c r="X1479">
        <v>65.090668550670287</v>
      </c>
      <c r="Y1479">
        <v>-5.6906685506702885</v>
      </c>
      <c r="Z1479">
        <v>-5.711869353941772</v>
      </c>
      <c r="AA1479">
        <v>3.7117101176092375E-3</v>
      </c>
      <c r="AB1479">
        <v>-1.5469689551578569</v>
      </c>
      <c r="AC1479">
        <v>8.1051216278578289E-4</v>
      </c>
      <c r="AD1479">
        <v>1.2457497672431228</v>
      </c>
      <c r="AE1479">
        <v>1.1348854176247336</v>
      </c>
    </row>
    <row r="1480" spans="23:31" x14ac:dyDescent="0.25">
      <c r="W1480">
        <v>58.9</v>
      </c>
      <c r="X1480">
        <v>64.787667239618671</v>
      </c>
      <c r="Y1480">
        <v>-5.887667239618672</v>
      </c>
      <c r="Z1480">
        <v>-5.9105122454115175</v>
      </c>
      <c r="AA1480">
        <v>3.8651482044700933E-3</v>
      </c>
      <c r="AB1480">
        <v>-1.6006449507929421</v>
      </c>
      <c r="AC1480">
        <v>9.0374383736795626E-4</v>
      </c>
      <c r="AD1480">
        <v>1.2457497672431228</v>
      </c>
      <c r="AE1480">
        <v>1.1372497381724003</v>
      </c>
    </row>
    <row r="1481" spans="23:31" x14ac:dyDescent="0.25">
      <c r="W1481">
        <v>58.3</v>
      </c>
      <c r="X1481">
        <v>68.438944937734405</v>
      </c>
      <c r="Y1481">
        <v>-10.138944937734408</v>
      </c>
      <c r="Z1481">
        <v>-10.181151030076975</v>
      </c>
      <c r="AA1481">
        <v>4.1455128421017656E-3</v>
      </c>
      <c r="AB1481">
        <v>-2.7568024257938335</v>
      </c>
      <c r="AC1481">
        <v>2.8760801164091588E-3</v>
      </c>
      <c r="AD1481">
        <v>1.262435852359769</v>
      </c>
      <c r="AE1481">
        <v>1.1389995009724601</v>
      </c>
    </row>
    <row r="1482" spans="23:31" x14ac:dyDescent="0.25">
      <c r="W1482">
        <v>57.4</v>
      </c>
      <c r="X1482">
        <v>62.098321869726419</v>
      </c>
      <c r="Y1482">
        <v>-4.6983218697264206</v>
      </c>
      <c r="Z1482">
        <v>-4.7108339563394637</v>
      </c>
      <c r="AA1482">
        <v>2.6560236953808913E-3</v>
      </c>
      <c r="AB1482">
        <v>-1.2765302224042672</v>
      </c>
      <c r="AC1482">
        <v>3.9450861713128944E-4</v>
      </c>
      <c r="AD1482">
        <v>1.262435852359769</v>
      </c>
      <c r="AE1482">
        <v>1.1406178946870404</v>
      </c>
    </row>
    <row r="1483" spans="23:31" x14ac:dyDescent="0.25">
      <c r="W1483">
        <v>56.7</v>
      </c>
      <c r="X1483">
        <v>60.494490216565339</v>
      </c>
      <c r="Y1483">
        <v>-3.794490216565336</v>
      </c>
      <c r="Z1483">
        <v>-3.8102749257685815</v>
      </c>
      <c r="AA1483">
        <v>4.1426693639595264E-3</v>
      </c>
      <c r="AB1483">
        <v>-1.0317291358926022</v>
      </c>
      <c r="AC1483">
        <v>4.0255187434554753E-4</v>
      </c>
      <c r="AD1483">
        <v>1.262435852359769</v>
      </c>
      <c r="AE1483">
        <v>1.1444004853228738</v>
      </c>
    </row>
    <row r="1484" spans="23:31" x14ac:dyDescent="0.25">
      <c r="W1484">
        <v>56.2</v>
      </c>
      <c r="X1484">
        <v>59.628647645740337</v>
      </c>
      <c r="Y1484">
        <v>-3.4286476457403339</v>
      </c>
      <c r="Z1484">
        <v>-3.4413985944887457</v>
      </c>
      <c r="AA1484">
        <v>3.7051647457606546E-3</v>
      </c>
      <c r="AB1484">
        <v>-0.93205112825690073</v>
      </c>
      <c r="AC1484">
        <v>2.9370168087607931E-4</v>
      </c>
      <c r="AD1484">
        <v>1.262435852359769</v>
      </c>
      <c r="AE1484">
        <v>1.1469548917188523</v>
      </c>
    </row>
    <row r="1485" spans="23:31" x14ac:dyDescent="0.25">
      <c r="W1485">
        <v>73.3</v>
      </c>
      <c r="X1485">
        <v>73.763188612690982</v>
      </c>
      <c r="Y1485">
        <v>-0.46318861269098477</v>
      </c>
      <c r="Z1485">
        <v>-0.47026639256594649</v>
      </c>
      <c r="AA1485">
        <v>1.5050575560675327E-2</v>
      </c>
      <c r="AB1485">
        <v>-0.12663732509711345</v>
      </c>
      <c r="AC1485">
        <v>2.2277679396638019E-5</v>
      </c>
      <c r="AD1485">
        <v>1.262435852359769</v>
      </c>
      <c r="AE1485">
        <v>1.1504356705467171</v>
      </c>
    </row>
    <row r="1486" spans="23:31" x14ac:dyDescent="0.25">
      <c r="W1486">
        <v>73.2</v>
      </c>
      <c r="X1486">
        <v>75.322739115772947</v>
      </c>
      <c r="Y1486">
        <v>-2.1227391157729443</v>
      </c>
      <c r="Z1486">
        <v>-2.1351028952501423</v>
      </c>
      <c r="AA1486">
        <v>5.7907183324497095E-3</v>
      </c>
      <c r="AB1486">
        <v>-0.57765499909071061</v>
      </c>
      <c r="AC1486">
        <v>1.7668472897640363E-4</v>
      </c>
      <c r="AD1486">
        <v>1.262435852359769</v>
      </c>
      <c r="AE1486">
        <v>1.1505944897703189</v>
      </c>
    </row>
    <row r="1487" spans="23:31" x14ac:dyDescent="0.25">
      <c r="W1487">
        <v>73</v>
      </c>
      <c r="X1487">
        <v>74.987947361445222</v>
      </c>
      <c r="Y1487">
        <v>-1.9879473614452223</v>
      </c>
      <c r="Z1487">
        <v>-2.0001554740692455</v>
      </c>
      <c r="AA1487">
        <v>6.1035818376559007E-3</v>
      </c>
      <c r="AB1487">
        <v>-0.54105963833686244</v>
      </c>
      <c r="AC1487">
        <v>1.634335586107257E-4</v>
      </c>
      <c r="AD1487">
        <v>1.262435852359769</v>
      </c>
      <c r="AE1487">
        <v>1.1517715168481362</v>
      </c>
    </row>
    <row r="1488" spans="23:31" x14ac:dyDescent="0.25">
      <c r="W1488">
        <v>72.900000000000006</v>
      </c>
      <c r="X1488">
        <v>77.162379692202407</v>
      </c>
      <c r="Y1488">
        <v>-4.2623796922024013</v>
      </c>
      <c r="Z1488">
        <v>-4.2863663650763328</v>
      </c>
      <c r="AA1488">
        <v>5.5960388895748957E-3</v>
      </c>
      <c r="AB1488">
        <v>-1.1597957987373106</v>
      </c>
      <c r="AC1488">
        <v>6.8815814674367561E-4</v>
      </c>
      <c r="AD1488">
        <v>1.262435852359769</v>
      </c>
      <c r="AE1488">
        <v>1.1556780185969551</v>
      </c>
    </row>
    <row r="1489" spans="23:31" x14ac:dyDescent="0.25">
      <c r="W1489">
        <v>72.8</v>
      </c>
      <c r="X1489">
        <v>74.953313131198541</v>
      </c>
      <c r="Y1489">
        <v>-2.1533131311985443</v>
      </c>
      <c r="Z1489">
        <v>-2.1640180984349939</v>
      </c>
      <c r="AA1489">
        <v>4.9468011585463755E-3</v>
      </c>
      <c r="AB1489">
        <v>-0.58572648042800246</v>
      </c>
      <c r="AC1489">
        <v>1.5505121934388772E-4</v>
      </c>
      <c r="AD1489">
        <v>1.262435852359769</v>
      </c>
      <c r="AE1489">
        <v>1.1598851828490364</v>
      </c>
    </row>
    <row r="1490" spans="23:31" x14ac:dyDescent="0.25">
      <c r="W1490">
        <v>72.5</v>
      </c>
      <c r="X1490">
        <v>74.74032203302437</v>
      </c>
      <c r="Y1490">
        <v>-2.2403220330243698</v>
      </c>
      <c r="Z1490">
        <v>-2.2518386296525819</v>
      </c>
      <c r="AA1490">
        <v>5.1143081376105962E-3</v>
      </c>
      <c r="AB1490">
        <v>-0.60944522345352214</v>
      </c>
      <c r="AC1490">
        <v>1.7357627969426657E-4</v>
      </c>
      <c r="AD1490">
        <v>1.2933897637306977</v>
      </c>
      <c r="AE1490">
        <v>1.1620271005472953</v>
      </c>
    </row>
    <row r="1491" spans="23:31" x14ac:dyDescent="0.25">
      <c r="W1491">
        <v>72.599999999999994</v>
      </c>
      <c r="X1491">
        <v>75.032896851994835</v>
      </c>
      <c r="Y1491">
        <v>-2.4328968519948404</v>
      </c>
      <c r="Z1491">
        <v>-2.4446254749548757</v>
      </c>
      <c r="AA1491">
        <v>4.7977177200334477E-3</v>
      </c>
      <c r="AB1491">
        <v>-0.66172696891317895</v>
      </c>
      <c r="AC1491">
        <v>1.9190589394564461E-4</v>
      </c>
      <c r="AD1491">
        <v>1.2933897637306977</v>
      </c>
      <c r="AE1491">
        <v>1.1638479966556798</v>
      </c>
    </row>
    <row r="1492" spans="23:31" x14ac:dyDescent="0.25">
      <c r="W1492">
        <v>72.5</v>
      </c>
      <c r="X1492">
        <v>72.588779717058685</v>
      </c>
      <c r="Y1492">
        <v>-8.8779717058685037E-2</v>
      </c>
      <c r="Z1492">
        <v>-8.9312523768697361E-2</v>
      </c>
      <c r="AA1492">
        <v>5.9656438708454848E-3</v>
      </c>
      <c r="AB1492">
        <v>-2.4161499244616146E-2</v>
      </c>
      <c r="AC1492">
        <v>3.185011481082735E-7</v>
      </c>
      <c r="AD1492">
        <v>1.2933897637306977</v>
      </c>
      <c r="AE1492">
        <v>1.1644345463207886</v>
      </c>
    </row>
    <row r="1493" spans="23:31" x14ac:dyDescent="0.25">
      <c r="W1493">
        <v>72.400000000000006</v>
      </c>
      <c r="X1493">
        <v>72.587747416713583</v>
      </c>
      <c r="Y1493">
        <v>-0.18774741671357731</v>
      </c>
      <c r="Z1493">
        <v>-0.18895386844839379</v>
      </c>
      <c r="AA1493">
        <v>6.3849009534761511E-3</v>
      </c>
      <c r="AB1493">
        <v>-5.1106448144529734E-2</v>
      </c>
      <c r="AC1493">
        <v>1.5257897561322097E-6</v>
      </c>
      <c r="AD1493">
        <v>1.2933897637306977</v>
      </c>
      <c r="AE1493">
        <v>1.1701391936453731</v>
      </c>
    </row>
    <row r="1494" spans="23:31" x14ac:dyDescent="0.25">
      <c r="W1494">
        <v>72.3</v>
      </c>
      <c r="X1494">
        <v>77.532353394861289</v>
      </c>
      <c r="Y1494">
        <v>-5.2323533948612919</v>
      </c>
      <c r="Z1494">
        <v>-5.2557496761884437</v>
      </c>
      <c r="AA1494">
        <v>4.4515592957450065E-3</v>
      </c>
      <c r="AB1494">
        <v>-1.4229075720437454</v>
      </c>
      <c r="AC1494">
        <v>8.2302013828286036E-4</v>
      </c>
      <c r="AD1494">
        <v>1.2933897637306977</v>
      </c>
      <c r="AE1494">
        <v>1.1739585310241119</v>
      </c>
    </row>
    <row r="1495" spans="23:31" x14ac:dyDescent="0.25">
      <c r="W1495">
        <v>72.2</v>
      </c>
      <c r="X1495">
        <v>73.039325764676306</v>
      </c>
      <c r="Y1495">
        <v>-0.83932576467630327</v>
      </c>
      <c r="Z1495">
        <v>-0.8507928330081711</v>
      </c>
      <c r="AA1495">
        <v>1.3478097001979092E-2</v>
      </c>
      <c r="AB1495">
        <v>-0.22929152819548826</v>
      </c>
      <c r="AC1495">
        <v>6.529879667136543E-5</v>
      </c>
      <c r="AD1495">
        <v>1.2933897637306977</v>
      </c>
      <c r="AE1495">
        <v>1.1814656071994387</v>
      </c>
    </row>
    <row r="1496" spans="23:31" x14ac:dyDescent="0.25">
      <c r="W1496">
        <v>72</v>
      </c>
      <c r="X1496">
        <v>71.940532278181806</v>
      </c>
      <c r="Y1496">
        <v>5.9467721818194264E-2</v>
      </c>
      <c r="Z1496">
        <v>6.0217465847173912E-2</v>
      </c>
      <c r="AA1496">
        <v>1.2450607451410269E-2</v>
      </c>
      <c r="AB1496">
        <v>1.6237258624885963E-2</v>
      </c>
      <c r="AC1496">
        <v>3.0217911545146273E-7</v>
      </c>
      <c r="AD1496">
        <v>1.2933897637306977</v>
      </c>
      <c r="AE1496">
        <v>1.1817535989382728</v>
      </c>
    </row>
    <row r="1497" spans="23:31" x14ac:dyDescent="0.25">
      <c r="W1497">
        <v>71.900000000000006</v>
      </c>
      <c r="X1497">
        <v>73.373430518423646</v>
      </c>
      <c r="Y1497">
        <v>-1.4734305184236405</v>
      </c>
      <c r="Z1497">
        <v>-1.4784771222614808</v>
      </c>
      <c r="AA1497">
        <v>3.4133797282676235E-3</v>
      </c>
      <c r="AB1497">
        <v>-0.40048195732286751</v>
      </c>
      <c r="AC1497">
        <v>4.9939337565857852E-5</v>
      </c>
      <c r="AD1497">
        <v>1.2933897637306977</v>
      </c>
      <c r="AE1497">
        <v>1.1875763699515538</v>
      </c>
    </row>
    <row r="1498" spans="23:31" x14ac:dyDescent="0.25">
      <c r="W1498">
        <v>71.8</v>
      </c>
      <c r="X1498">
        <v>73.13542407206279</v>
      </c>
      <c r="Y1498">
        <v>-1.3354240720627928</v>
      </c>
      <c r="Z1498">
        <v>-1.3398071691921416</v>
      </c>
      <c r="AA1498">
        <v>3.2714387787578358E-3</v>
      </c>
      <c r="AB1498">
        <v>-0.36294562767980326</v>
      </c>
      <c r="AC1498">
        <v>3.9305411459926166E-5</v>
      </c>
      <c r="AD1498">
        <v>1.3219841213691266</v>
      </c>
      <c r="AE1498">
        <v>1.1893984079662445</v>
      </c>
    </row>
    <row r="1499" spans="23:31" x14ac:dyDescent="0.25">
      <c r="W1499">
        <v>71.599999999999994</v>
      </c>
      <c r="X1499">
        <v>73.428999554312838</v>
      </c>
      <c r="Y1499">
        <v>-1.8289995543128441</v>
      </c>
      <c r="Z1499">
        <v>-1.8359159576726967</v>
      </c>
      <c r="AA1499">
        <v>3.7672766724103929E-3</v>
      </c>
      <c r="AB1499">
        <v>-0.49721476670975462</v>
      </c>
      <c r="AC1499">
        <v>8.4988871907465031E-5</v>
      </c>
      <c r="AD1499">
        <v>1.3219841213691266</v>
      </c>
      <c r="AE1499">
        <v>1.1900510230340802</v>
      </c>
    </row>
    <row r="1500" spans="23:31" x14ac:dyDescent="0.25">
      <c r="W1500">
        <v>71.099999999999994</v>
      </c>
      <c r="X1500">
        <v>72.799079092250324</v>
      </c>
      <c r="Y1500">
        <v>-1.6990790922503294</v>
      </c>
      <c r="Z1500">
        <v>-1.7018952310289563</v>
      </c>
      <c r="AA1500">
        <v>1.6547074856771045E-3</v>
      </c>
      <c r="AB1500">
        <v>-0.46140684028425372</v>
      </c>
      <c r="AC1500">
        <v>3.2078631240625146E-5</v>
      </c>
      <c r="AD1500">
        <v>1.3219841213691266</v>
      </c>
      <c r="AE1500">
        <v>1.1906003739224087</v>
      </c>
    </row>
    <row r="1501" spans="23:31" x14ac:dyDescent="0.25">
      <c r="W1501">
        <v>71</v>
      </c>
      <c r="X1501">
        <v>72.070658478822423</v>
      </c>
      <c r="Y1501">
        <v>-1.0706584788224234</v>
      </c>
      <c r="Z1501">
        <v>-1.0725179413856836</v>
      </c>
      <c r="AA1501">
        <v>1.7337356248363096E-3</v>
      </c>
      <c r="AB1501">
        <v>-0.29076262654100088</v>
      </c>
      <c r="AC1501">
        <v>1.3348146358098653E-5</v>
      </c>
      <c r="AD1501">
        <v>1.3219841213691266</v>
      </c>
      <c r="AE1501">
        <v>1.1937369282516572</v>
      </c>
    </row>
    <row r="1502" spans="23:31" x14ac:dyDescent="0.25">
      <c r="W1502">
        <v>78</v>
      </c>
      <c r="X1502">
        <v>72.43937326325846</v>
      </c>
      <c r="Y1502">
        <v>5.5606267367415398</v>
      </c>
      <c r="Z1502">
        <v>5.5695480162736573</v>
      </c>
      <c r="AA1502">
        <v>1.6017959637038628E-3</v>
      </c>
      <c r="AB1502">
        <v>1.510019890573624</v>
      </c>
      <c r="AC1502">
        <v>3.3256462764271561E-4</v>
      </c>
      <c r="AD1502">
        <v>1.3219841213691266</v>
      </c>
      <c r="AE1502">
        <v>1.1956757394619597</v>
      </c>
    </row>
    <row r="1503" spans="23:31" x14ac:dyDescent="0.25">
      <c r="W1503">
        <v>76</v>
      </c>
      <c r="X1503">
        <v>69.986354522915093</v>
      </c>
      <c r="Y1503">
        <v>6.013645477084907</v>
      </c>
      <c r="Z1503">
        <v>6.0845752434030942</v>
      </c>
      <c r="AA1503">
        <v>1.1657307779221793E-2</v>
      </c>
      <c r="AB1503">
        <v>1.6413260554739433</v>
      </c>
      <c r="AC1503">
        <v>2.8886022820492903E-3</v>
      </c>
      <c r="AD1503">
        <v>1.3404190152831756</v>
      </c>
      <c r="AE1503">
        <v>1.1967988244927554</v>
      </c>
    </row>
    <row r="1504" spans="23:31" x14ac:dyDescent="0.25">
      <c r="W1504">
        <v>74</v>
      </c>
      <c r="X1504">
        <v>70.327868519860317</v>
      </c>
      <c r="Y1504">
        <v>3.6721314801396829</v>
      </c>
      <c r="Z1504">
        <v>3.7142245945786243</v>
      </c>
      <c r="AA1504">
        <v>1.1332948066841026E-2</v>
      </c>
      <c r="AB1504">
        <v>1.0020837327049783</v>
      </c>
      <c r="AC1504">
        <v>1.0464251678012041E-3</v>
      </c>
      <c r="AD1504">
        <v>1.3404190152831756</v>
      </c>
      <c r="AE1504">
        <v>1.1989099620055359</v>
      </c>
    </row>
    <row r="1505" spans="23:31" x14ac:dyDescent="0.25">
      <c r="W1505">
        <v>71</v>
      </c>
      <c r="X1505">
        <v>69.839057404043288</v>
      </c>
      <c r="Y1505">
        <v>1.1609425959567119</v>
      </c>
      <c r="Z1505">
        <v>1.1748680442616575</v>
      </c>
      <c r="AA1505">
        <v>1.1852776465371764E-2</v>
      </c>
      <c r="AB1505">
        <v>0.31689160839103869</v>
      </c>
      <c r="AC1505">
        <v>1.0950330615236125E-4</v>
      </c>
      <c r="AD1505">
        <v>1.3404190152831756</v>
      </c>
      <c r="AE1505">
        <v>1.2039103034316465</v>
      </c>
    </row>
    <row r="1506" spans="23:31" x14ac:dyDescent="0.25">
      <c r="W1506">
        <v>69.900000000000006</v>
      </c>
      <c r="X1506">
        <v>68.870119676106114</v>
      </c>
      <c r="Y1506">
        <v>1.0298803238938916</v>
      </c>
      <c r="Z1506">
        <v>1.0462954469810484</v>
      </c>
      <c r="AA1506">
        <v>1.5688802942338299E-2</v>
      </c>
      <c r="AB1506">
        <v>0.2816640166528504</v>
      </c>
      <c r="AC1506">
        <v>1.149548856993371E-4</v>
      </c>
      <c r="AD1506">
        <v>1.3404190152831756</v>
      </c>
      <c r="AE1506">
        <v>1.2074797803987529</v>
      </c>
    </row>
    <row r="1507" spans="23:31" x14ac:dyDescent="0.25">
      <c r="W1507">
        <v>69.7</v>
      </c>
      <c r="X1507">
        <v>70.843916345395712</v>
      </c>
      <c r="Y1507">
        <v>-1.1439163453957093</v>
      </c>
      <c r="Z1507">
        <v>-1.1460837410116227</v>
      </c>
      <c r="AA1507">
        <v>1.8911319813337615E-3</v>
      </c>
      <c r="AB1507">
        <v>-0.31068202599122718</v>
      </c>
      <c r="AC1507">
        <v>1.662583617831691E-5</v>
      </c>
      <c r="AD1507">
        <v>1.3555018111021329</v>
      </c>
      <c r="AE1507">
        <v>1.2104717242131817</v>
      </c>
    </row>
    <row r="1508" spans="23:31" x14ac:dyDescent="0.25">
      <c r="W1508">
        <v>69.599999999999994</v>
      </c>
      <c r="X1508">
        <v>70.698600229139018</v>
      </c>
      <c r="Y1508">
        <v>-1.0986002291390236</v>
      </c>
      <c r="Z1508">
        <v>-1.1008039701161749</v>
      </c>
      <c r="AA1508">
        <v>2.0019377082409989E-3</v>
      </c>
      <c r="AB1508">
        <v>-0.2983909562714423</v>
      </c>
      <c r="AC1508">
        <v>1.6236764410319611E-5</v>
      </c>
      <c r="AD1508">
        <v>1.3555018111021329</v>
      </c>
      <c r="AE1508">
        <v>1.211531051719154</v>
      </c>
    </row>
    <row r="1509" spans="23:31" x14ac:dyDescent="0.25">
      <c r="W1509">
        <v>69.5</v>
      </c>
      <c r="X1509">
        <v>71.270547970525485</v>
      </c>
      <c r="Y1509">
        <v>-1.7705479705254845</v>
      </c>
      <c r="Z1509">
        <v>-1.7733895688586472</v>
      </c>
      <c r="AA1509">
        <v>1.6023542616152939E-3</v>
      </c>
      <c r="AB1509">
        <v>-0.48080252942761448</v>
      </c>
      <c r="AC1509">
        <v>3.3728404203893493E-5</v>
      </c>
      <c r="AD1509">
        <v>1.3555018111021329</v>
      </c>
      <c r="AE1509">
        <v>1.21186070344741</v>
      </c>
    </row>
    <row r="1510" spans="23:31" x14ac:dyDescent="0.25">
      <c r="W1510">
        <v>69.400000000000006</v>
      </c>
      <c r="X1510">
        <v>73.375981866605542</v>
      </c>
      <c r="Y1510">
        <v>-3.9759818666055367</v>
      </c>
      <c r="Z1510">
        <v>-3.9873904575071464</v>
      </c>
      <c r="AA1510">
        <v>2.861167227835575E-3</v>
      </c>
      <c r="AB1510">
        <v>-1.0803821498705628</v>
      </c>
      <c r="AC1510">
        <v>3.0447365959378056E-4</v>
      </c>
      <c r="AD1510">
        <v>1.3555018111021329</v>
      </c>
      <c r="AE1510">
        <v>1.2185950255220268</v>
      </c>
    </row>
    <row r="1511" spans="23:31" x14ac:dyDescent="0.25">
      <c r="W1511">
        <v>69.3</v>
      </c>
      <c r="X1511">
        <v>70.176537017825012</v>
      </c>
      <c r="Y1511">
        <v>-0.87653701782501514</v>
      </c>
      <c r="Z1511">
        <v>-0.87798938985569919</v>
      </c>
      <c r="AA1511">
        <v>1.654202257407267E-3</v>
      </c>
      <c r="AB1511">
        <v>-0.2380348715341806</v>
      </c>
      <c r="AC1511">
        <v>8.5348540599174346E-6</v>
      </c>
      <c r="AD1511">
        <v>1.3555018111021329</v>
      </c>
      <c r="AE1511">
        <v>1.2231996331292836</v>
      </c>
    </row>
    <row r="1512" spans="23:31" x14ac:dyDescent="0.25">
      <c r="W1512">
        <v>69.2</v>
      </c>
      <c r="X1512">
        <v>69.425293394572762</v>
      </c>
      <c r="Y1512">
        <v>-0.2252933945727591</v>
      </c>
      <c r="Z1512">
        <v>-0.22566570108138251</v>
      </c>
      <c r="AA1512">
        <v>1.6498143352700477E-3</v>
      </c>
      <c r="AB1512">
        <v>-6.1181176941140863E-2</v>
      </c>
      <c r="AC1512">
        <v>5.6233503123477087E-7</v>
      </c>
      <c r="AD1512">
        <v>1.3748000243745633</v>
      </c>
      <c r="AE1512">
        <v>1.2347101216099308</v>
      </c>
    </row>
    <row r="1513" spans="23:31" x14ac:dyDescent="0.25">
      <c r="W1513">
        <v>75.099999999999994</v>
      </c>
      <c r="X1513">
        <v>75.786661336648379</v>
      </c>
      <c r="Y1513">
        <v>-0.68666133664838469</v>
      </c>
      <c r="Z1513">
        <v>-0.69224692765578766</v>
      </c>
      <c r="AA1513">
        <v>8.0687841061467588E-3</v>
      </c>
      <c r="AB1513">
        <v>-0.18707365685688115</v>
      </c>
      <c r="AC1513">
        <v>2.5879693233887436E-5</v>
      </c>
      <c r="AD1513">
        <v>1.3748000243745633</v>
      </c>
      <c r="AE1513">
        <v>1.2370809289678149</v>
      </c>
    </row>
    <row r="1514" spans="23:31" x14ac:dyDescent="0.25">
      <c r="W1514">
        <v>74.900000000000006</v>
      </c>
      <c r="X1514">
        <v>77.776898335236751</v>
      </c>
      <c r="Y1514">
        <v>-2.8768983352367457</v>
      </c>
      <c r="Z1514">
        <v>-2.8886025845339418</v>
      </c>
      <c r="AA1514">
        <v>4.0518724728242569E-3</v>
      </c>
      <c r="AB1514">
        <v>-0.78219849361021421</v>
      </c>
      <c r="AC1514">
        <v>2.2628736949410814E-4</v>
      </c>
      <c r="AD1514">
        <v>1.3748000243745633</v>
      </c>
      <c r="AE1514">
        <v>1.2376973501009765</v>
      </c>
    </row>
    <row r="1515" spans="23:31" x14ac:dyDescent="0.25">
      <c r="W1515">
        <v>74.900000000000006</v>
      </c>
      <c r="X1515">
        <v>77.583272750921537</v>
      </c>
      <c r="Y1515">
        <v>-2.6832727509215317</v>
      </c>
      <c r="Z1515">
        <v>-2.6937523945845356</v>
      </c>
      <c r="AA1515">
        <v>3.8903514978129768E-3</v>
      </c>
      <c r="AB1515">
        <v>-0.72949457573897769</v>
      </c>
      <c r="AC1515">
        <v>1.8894401691776824E-4</v>
      </c>
      <c r="AD1515">
        <v>1.3748000243745633</v>
      </c>
      <c r="AE1515">
        <v>1.2462221919520702</v>
      </c>
    </row>
    <row r="1516" spans="23:31" x14ac:dyDescent="0.25">
      <c r="W1516">
        <v>74.8</v>
      </c>
      <c r="X1516">
        <v>77.463096955600875</v>
      </c>
      <c r="Y1516">
        <v>-2.6630969556008779</v>
      </c>
      <c r="Z1516">
        <v>-2.673275215257263</v>
      </c>
      <c r="AA1516">
        <v>3.8074118213865613E-3</v>
      </c>
      <c r="AB1516">
        <v>-0.72397929336352018</v>
      </c>
      <c r="AC1516">
        <v>1.8211518223340263E-4</v>
      </c>
      <c r="AD1516">
        <v>1.3748000243745633</v>
      </c>
      <c r="AE1516">
        <v>1.2464043976642756</v>
      </c>
    </row>
    <row r="1517" spans="23:31" x14ac:dyDescent="0.25">
      <c r="W1517">
        <v>74.8</v>
      </c>
      <c r="X1517">
        <v>77.01589267079423</v>
      </c>
      <c r="Y1517">
        <v>-2.2158926707942328</v>
      </c>
      <c r="Z1517">
        <v>-2.2243035294198563</v>
      </c>
      <c r="AA1517">
        <v>3.7813448184470903E-3</v>
      </c>
      <c r="AB1517">
        <v>-0.60239617561223902</v>
      </c>
      <c r="AC1517">
        <v>1.2521701282175581E-4</v>
      </c>
      <c r="AD1517">
        <v>1.3946242806491955</v>
      </c>
      <c r="AE1517">
        <v>1.2485924943936297</v>
      </c>
    </row>
    <row r="1518" spans="23:31" x14ac:dyDescent="0.25">
      <c r="W1518">
        <v>74.7</v>
      </c>
      <c r="X1518">
        <v>77.162555035493185</v>
      </c>
      <c r="Y1518">
        <v>-2.4625550354931818</v>
      </c>
      <c r="Z1518">
        <v>-2.4714212270415175</v>
      </c>
      <c r="AA1518">
        <v>3.5874870100333954E-3</v>
      </c>
      <c r="AB1518">
        <v>-0.66938685381576701</v>
      </c>
      <c r="AC1518">
        <v>1.4666039053612016E-4</v>
      </c>
      <c r="AD1518">
        <v>1.3946242806491955</v>
      </c>
      <c r="AE1518">
        <v>1.2588540382072804</v>
      </c>
    </row>
    <row r="1519" spans="23:31" x14ac:dyDescent="0.25">
      <c r="W1519">
        <v>74.7</v>
      </c>
      <c r="X1519">
        <v>76.704570410379972</v>
      </c>
      <c r="Y1519">
        <v>-2.0045704103799693</v>
      </c>
      <c r="Z1519">
        <v>-2.0119972580617969</v>
      </c>
      <c r="AA1519">
        <v>3.6912812142590274E-3</v>
      </c>
      <c r="AB1519">
        <v>-0.54492303901699002</v>
      </c>
      <c r="AC1519">
        <v>1.000140136936492E-4</v>
      </c>
      <c r="AD1519">
        <v>1.3946242806491955</v>
      </c>
      <c r="AE1519">
        <v>1.2617081260245686</v>
      </c>
    </row>
    <row r="1520" spans="23:31" x14ac:dyDescent="0.25">
      <c r="W1520">
        <v>74.599999999999994</v>
      </c>
      <c r="X1520">
        <v>76.790642985107297</v>
      </c>
      <c r="Y1520">
        <v>-2.1906429851073028</v>
      </c>
      <c r="Z1520">
        <v>-2.1986186318426064</v>
      </c>
      <c r="AA1520">
        <v>3.6275717033367985E-3</v>
      </c>
      <c r="AB1520">
        <v>-0.59548602612045631</v>
      </c>
      <c r="AC1520">
        <v>1.1736666615704835E-4</v>
      </c>
      <c r="AD1520">
        <v>1.3946242806491955</v>
      </c>
      <c r="AE1520">
        <v>1.2644819036441088</v>
      </c>
    </row>
    <row r="1521" spans="23:31" x14ac:dyDescent="0.25">
      <c r="W1521">
        <v>74.400000000000006</v>
      </c>
      <c r="X1521">
        <v>76.583501792401336</v>
      </c>
      <c r="Y1521">
        <v>-2.18350179240133</v>
      </c>
      <c r="Z1521">
        <v>-2.1911091753972727</v>
      </c>
      <c r="AA1521">
        <v>3.4719324264470023E-3</v>
      </c>
      <c r="AB1521">
        <v>-0.59349847197706707</v>
      </c>
      <c r="AC1521">
        <v>1.1156507298404457E-4</v>
      </c>
      <c r="AD1521">
        <v>1.3946242806491955</v>
      </c>
      <c r="AE1521">
        <v>1.2752828785709307</v>
      </c>
    </row>
    <row r="1522" spans="23:31" x14ac:dyDescent="0.25">
      <c r="W1522">
        <v>74.2</v>
      </c>
      <c r="X1522">
        <v>76.137300837990111</v>
      </c>
      <c r="Y1522">
        <v>-1.937300837990108</v>
      </c>
      <c r="Z1522">
        <v>-1.9436575304265347</v>
      </c>
      <c r="AA1522">
        <v>3.2704796688296164E-3</v>
      </c>
      <c r="AB1522">
        <v>-0.52652527767042612</v>
      </c>
      <c r="AC1522">
        <v>8.26951233096244E-5</v>
      </c>
      <c r="AD1522">
        <v>1.3946242806491955</v>
      </c>
      <c r="AE1522">
        <v>1.2780602333804705</v>
      </c>
    </row>
    <row r="1523" spans="23:31" x14ac:dyDescent="0.25">
      <c r="W1523">
        <v>74</v>
      </c>
      <c r="X1523">
        <v>75.691118440082263</v>
      </c>
      <c r="Y1523">
        <v>-1.6911184400822634</v>
      </c>
      <c r="Z1523">
        <v>-1.6963149275371592</v>
      </c>
      <c r="AA1523">
        <v>3.0633978222655302E-3</v>
      </c>
      <c r="AB1523">
        <v>-0.45956936894982864</v>
      </c>
      <c r="AC1523">
        <v>5.8999091196011662E-5</v>
      </c>
      <c r="AD1523">
        <v>1.4191611772342045</v>
      </c>
      <c r="AE1523">
        <v>1.2786603247140442</v>
      </c>
    </row>
    <row r="1524" spans="23:31" x14ac:dyDescent="0.25">
      <c r="W1524">
        <v>73.7</v>
      </c>
      <c r="X1524">
        <v>73.68209753663443</v>
      </c>
      <c r="Y1524">
        <v>1.7902463365572885E-2</v>
      </c>
      <c r="Z1524">
        <v>1.8020013746109953E-2</v>
      </c>
      <c r="AA1524">
        <v>6.5233235778884473E-3</v>
      </c>
      <c r="AB1524">
        <v>4.8735427034791792E-3</v>
      </c>
      <c r="AC1524">
        <v>1.4177776056839907E-8</v>
      </c>
      <c r="AD1524">
        <v>1.4191611772342045</v>
      </c>
      <c r="AE1524">
        <v>1.2826527502482794</v>
      </c>
    </row>
    <row r="1525" spans="23:31" x14ac:dyDescent="0.25">
      <c r="W1525">
        <v>73.5</v>
      </c>
      <c r="X1525">
        <v>75.081342564988503</v>
      </c>
      <c r="Y1525">
        <v>-1.5813425649885033</v>
      </c>
      <c r="Z1525">
        <v>-1.5860664735524352</v>
      </c>
      <c r="AA1525">
        <v>2.9783799372212713E-3</v>
      </c>
      <c r="AB1525">
        <v>-0.42971893730839161</v>
      </c>
      <c r="AC1525">
        <v>5.014779279802755E-5</v>
      </c>
      <c r="AD1525">
        <v>1.4191611772342045</v>
      </c>
      <c r="AE1525">
        <v>1.310133684723729</v>
      </c>
    </row>
    <row r="1526" spans="23:31" x14ac:dyDescent="0.25">
      <c r="W1526">
        <v>73.2</v>
      </c>
      <c r="X1526">
        <v>74.964346157634694</v>
      </c>
      <c r="Y1526">
        <v>-1.7643461576346908</v>
      </c>
      <c r="Z1526">
        <v>-1.7698023213245193</v>
      </c>
      <c r="AA1526">
        <v>3.0829226654796177E-3</v>
      </c>
      <c r="AB1526">
        <v>-0.47947403993218296</v>
      </c>
      <c r="AC1526">
        <v>6.4631034346322293E-5</v>
      </c>
      <c r="AD1526">
        <v>1.4191611772342045</v>
      </c>
      <c r="AE1526">
        <v>1.3157762428408182</v>
      </c>
    </row>
    <row r="1527" spans="23:31" x14ac:dyDescent="0.25">
      <c r="W1527">
        <v>72.900000000000006</v>
      </c>
      <c r="X1527">
        <v>72.731555911465392</v>
      </c>
      <c r="Y1527">
        <v>0.16844408853461346</v>
      </c>
      <c r="Z1527">
        <v>0.16878190143498273</v>
      </c>
      <c r="AA1527">
        <v>2.0014758543631405E-3</v>
      </c>
      <c r="AB1527">
        <v>4.5751110998158345E-2</v>
      </c>
      <c r="AC1527">
        <v>3.8161994133324235E-7</v>
      </c>
      <c r="AD1527">
        <v>1.4191611772342045</v>
      </c>
      <c r="AE1527">
        <v>1.3173484726974432</v>
      </c>
    </row>
    <row r="1528" spans="23:31" x14ac:dyDescent="0.25">
      <c r="W1528">
        <v>75.5</v>
      </c>
      <c r="X1528">
        <v>77.751014737164112</v>
      </c>
      <c r="Y1528">
        <v>-2.2510147371641125</v>
      </c>
      <c r="Z1528">
        <v>-2.2604739609085129</v>
      </c>
      <c r="AA1528">
        <v>4.1846196452540703E-3</v>
      </c>
      <c r="AB1528">
        <v>-0.61206809735822265</v>
      </c>
      <c r="AC1528">
        <v>1.431146068084289E-4</v>
      </c>
      <c r="AD1528">
        <v>1.4191611772342045</v>
      </c>
      <c r="AE1528">
        <v>1.3256215048419266</v>
      </c>
    </row>
    <row r="1529" spans="23:31" x14ac:dyDescent="0.25">
      <c r="W1529">
        <v>75.2</v>
      </c>
      <c r="X1529">
        <v>77.585573138730638</v>
      </c>
      <c r="Y1529">
        <v>-2.3855731387306349</v>
      </c>
      <c r="Z1529">
        <v>-2.3954617123497286</v>
      </c>
      <c r="AA1529">
        <v>4.1280449477092947E-3</v>
      </c>
      <c r="AB1529">
        <v>-0.64863712926024808</v>
      </c>
      <c r="AC1529">
        <v>1.5854474060941407E-4</v>
      </c>
      <c r="AD1529">
        <v>1.4191611772342045</v>
      </c>
      <c r="AE1529">
        <v>1.3326882080440228</v>
      </c>
    </row>
    <row r="1530" spans="23:31" x14ac:dyDescent="0.25">
      <c r="W1530">
        <v>74.8</v>
      </c>
      <c r="X1530">
        <v>75.612287709218378</v>
      </c>
      <c r="Y1530">
        <v>-0.81228770921838134</v>
      </c>
      <c r="Z1530">
        <v>-0.81522285132029992</v>
      </c>
      <c r="AA1530">
        <v>3.6004168641272189E-3</v>
      </c>
      <c r="AB1530">
        <v>-0.22080247309224671</v>
      </c>
      <c r="AC1530">
        <v>1.6015276154636151E-5</v>
      </c>
      <c r="AD1530">
        <v>1.4191611772342045</v>
      </c>
      <c r="AE1530">
        <v>1.3368185213422996</v>
      </c>
    </row>
    <row r="1531" spans="23:31" x14ac:dyDescent="0.25">
      <c r="W1531">
        <v>74.5</v>
      </c>
      <c r="X1531">
        <v>75.520765124069001</v>
      </c>
      <c r="Y1531">
        <v>-1.0207651240690012</v>
      </c>
      <c r="Z1531">
        <v>-1.0241421341217745</v>
      </c>
      <c r="AA1531">
        <v>3.2974036906172387E-3</v>
      </c>
      <c r="AB1531">
        <v>-0.2774302725775516</v>
      </c>
      <c r="AC1531">
        <v>2.3148430053410044E-5</v>
      </c>
      <c r="AD1531">
        <v>1.4191611772342045</v>
      </c>
      <c r="AE1531">
        <v>1.3381304174760797</v>
      </c>
    </row>
    <row r="1532" spans="23:31" x14ac:dyDescent="0.25">
      <c r="W1532">
        <v>74.2</v>
      </c>
      <c r="X1532">
        <v>73.937062191437207</v>
      </c>
      <c r="Y1532">
        <v>0.26293780856279625</v>
      </c>
      <c r="Z1532">
        <v>0.26370548169299468</v>
      </c>
      <c r="AA1532">
        <v>2.9111003884677005E-3</v>
      </c>
      <c r="AB1532">
        <v>7.1449125621096343E-2</v>
      </c>
      <c r="AC1532">
        <v>1.3549536911988046E-6</v>
      </c>
      <c r="AD1532">
        <v>1.4576525936309466</v>
      </c>
      <c r="AE1532">
        <v>1.3399534709891365</v>
      </c>
    </row>
    <row r="1533" spans="23:31" x14ac:dyDescent="0.25">
      <c r="W1533">
        <v>73.900000000000006</v>
      </c>
      <c r="X1533">
        <v>73.448066977398028</v>
      </c>
      <c r="Y1533">
        <v>0.45193302260197754</v>
      </c>
      <c r="Z1533">
        <v>0.45324912961395114</v>
      </c>
      <c r="AA1533">
        <v>2.903716578774561E-3</v>
      </c>
      <c r="AB1533">
        <v>0.1228050842931291</v>
      </c>
      <c r="AC1533">
        <v>3.9926122658989303E-6</v>
      </c>
      <c r="AD1533">
        <v>1.4576525936309466</v>
      </c>
      <c r="AE1533">
        <v>1.3461963625438331</v>
      </c>
    </row>
    <row r="1534" spans="23:31" x14ac:dyDescent="0.25">
      <c r="W1534">
        <v>73.5</v>
      </c>
      <c r="X1534">
        <v>71.228604902089799</v>
      </c>
      <c r="Y1534">
        <v>2.2713950979102009</v>
      </c>
      <c r="Z1534">
        <v>2.2825578242453872</v>
      </c>
      <c r="AA1534">
        <v>4.8904462426415524E-3</v>
      </c>
      <c r="AB1534">
        <v>0.61782866809787707</v>
      </c>
      <c r="AC1534">
        <v>1.7053794327692622E-4</v>
      </c>
      <c r="AD1534">
        <v>1.4576525936309466</v>
      </c>
      <c r="AE1534">
        <v>1.3474511210185449</v>
      </c>
    </row>
    <row r="1535" spans="23:31" x14ac:dyDescent="0.25">
      <c r="W1535">
        <v>73.2</v>
      </c>
      <c r="X1535">
        <v>72.941922799232771</v>
      </c>
      <c r="Y1535">
        <v>0.25807720076723228</v>
      </c>
      <c r="Z1535">
        <v>0.25878253268264473</v>
      </c>
      <c r="AA1535">
        <v>2.7255777586503455E-3</v>
      </c>
      <c r="AB1535">
        <v>7.0121810255176234E-2</v>
      </c>
      <c r="AC1535">
        <v>1.2216799586248569E-6</v>
      </c>
      <c r="AD1535">
        <v>1.4576525936309466</v>
      </c>
      <c r="AE1535">
        <v>1.3504643272004266</v>
      </c>
    </row>
    <row r="1536" spans="23:31" x14ac:dyDescent="0.25">
      <c r="W1536">
        <v>72.8</v>
      </c>
      <c r="X1536">
        <v>70.466413308951289</v>
      </c>
      <c r="Y1536">
        <v>2.3335866910487084</v>
      </c>
      <c r="Z1536">
        <v>2.3594802947783506</v>
      </c>
      <c r="AA1536">
        <v>1.0974282678668694E-2</v>
      </c>
      <c r="AB1536">
        <v>0.63669430751630163</v>
      </c>
      <c r="AC1536">
        <v>4.0891948667281575E-4</v>
      </c>
      <c r="AD1536">
        <v>1.4576525936309466</v>
      </c>
      <c r="AE1536">
        <v>1.3635150032518892</v>
      </c>
    </row>
    <row r="1537" spans="23:31" x14ac:dyDescent="0.25">
      <c r="W1537">
        <v>72.400000000000006</v>
      </c>
      <c r="X1537">
        <v>70.618725051854867</v>
      </c>
      <c r="Y1537">
        <v>1.7812749481451391</v>
      </c>
      <c r="Z1537">
        <v>1.8006475421827446</v>
      </c>
      <c r="AA1537">
        <v>1.0758681854038735E-2</v>
      </c>
      <c r="AB1537">
        <v>0.48594895923087278</v>
      </c>
      <c r="AC1537">
        <v>2.3347772083732229E-4</v>
      </c>
      <c r="AD1537">
        <v>1.4576525936309466</v>
      </c>
      <c r="AE1537">
        <v>1.3637553538368836</v>
      </c>
    </row>
    <row r="1538" spans="23:31" x14ac:dyDescent="0.25">
      <c r="W1538">
        <v>72</v>
      </c>
      <c r="X1538">
        <v>71.808071134503123</v>
      </c>
      <c r="Y1538">
        <v>0.19192886549687671</v>
      </c>
      <c r="Z1538">
        <v>0.19235662247990604</v>
      </c>
      <c r="AA1538">
        <v>2.2237705024655309E-3</v>
      </c>
      <c r="AB1538">
        <v>5.2135619636709027E-2</v>
      </c>
      <c r="AC1538">
        <v>5.5072298902316597E-7</v>
      </c>
      <c r="AD1538">
        <v>1.4576525936309466</v>
      </c>
      <c r="AE1538">
        <v>1.3668764799741737</v>
      </c>
    </row>
    <row r="1539" spans="23:31" x14ac:dyDescent="0.25">
      <c r="W1539">
        <v>71.599999999999994</v>
      </c>
      <c r="X1539">
        <v>71.379386605082217</v>
      </c>
      <c r="Y1539">
        <v>0.22061339491777687</v>
      </c>
      <c r="Z1539">
        <v>0.22114647025864542</v>
      </c>
      <c r="AA1539">
        <v>2.4105080232574355E-3</v>
      </c>
      <c r="AB1539">
        <v>5.9933103180050962E-2</v>
      </c>
      <c r="AC1539">
        <v>7.8903734746114585E-7</v>
      </c>
      <c r="AD1539">
        <v>1.4576525936309466</v>
      </c>
      <c r="AE1539">
        <v>1.3675592294547341</v>
      </c>
    </row>
    <row r="1540" spans="23:31" x14ac:dyDescent="0.25">
      <c r="W1540">
        <v>71.2</v>
      </c>
      <c r="X1540">
        <v>70.834903949302699</v>
      </c>
      <c r="Y1540">
        <v>0.36509605069730355</v>
      </c>
      <c r="Z1540">
        <v>0.36586596418155182</v>
      </c>
      <c r="AA1540">
        <v>2.1043594092412916E-3</v>
      </c>
      <c r="AB1540">
        <v>9.9168876366474437E-2</v>
      </c>
      <c r="AC1540">
        <v>1.8853539300728734E-6</v>
      </c>
      <c r="AD1540">
        <v>1.4576525936309466</v>
      </c>
      <c r="AE1540">
        <v>1.3720791460011905</v>
      </c>
    </row>
    <row r="1541" spans="23:31" x14ac:dyDescent="0.25">
      <c r="W1541">
        <v>78</v>
      </c>
      <c r="X1541">
        <v>72.923853459635012</v>
      </c>
      <c r="Y1541">
        <v>5.0761465403649879</v>
      </c>
      <c r="Z1541">
        <v>5.0928231889852213</v>
      </c>
      <c r="AA1541">
        <v>3.2745390918537238E-3</v>
      </c>
      <c r="AB1541">
        <v>1.3796127358828225</v>
      </c>
      <c r="AC1541">
        <v>5.6845531550772351E-4</v>
      </c>
      <c r="AD1541">
        <v>1.4576525936309466</v>
      </c>
      <c r="AE1541">
        <v>1.3796127358828225</v>
      </c>
    </row>
    <row r="1542" spans="23:31" x14ac:dyDescent="0.25">
      <c r="W1542">
        <v>74</v>
      </c>
      <c r="X1542">
        <v>70.045220439306178</v>
      </c>
      <c r="Y1542">
        <v>3.9547795606938223</v>
      </c>
      <c r="Z1542">
        <v>3.9639804199449031</v>
      </c>
      <c r="AA1542">
        <v>2.3211162206525538E-3</v>
      </c>
      <c r="AB1542">
        <v>1.0743300185720228</v>
      </c>
      <c r="AC1542">
        <v>2.4411183914484569E-4</v>
      </c>
      <c r="AD1542">
        <v>1.4576525936309466</v>
      </c>
      <c r="AE1542">
        <v>1.3810427507748468</v>
      </c>
    </row>
    <row r="1543" spans="23:31" x14ac:dyDescent="0.25">
      <c r="W1543">
        <v>66</v>
      </c>
      <c r="X1543">
        <v>69.226897593516298</v>
      </c>
      <c r="Y1543">
        <v>-3.2268975935162985</v>
      </c>
      <c r="Z1543">
        <v>-3.2392706247395893</v>
      </c>
      <c r="AA1543">
        <v>3.8196966714652775E-3</v>
      </c>
      <c r="AB1543">
        <v>-0.87725737493405798</v>
      </c>
      <c r="AC1543">
        <v>2.682577615918724E-4</v>
      </c>
      <c r="AD1543">
        <v>1.4576525936309466</v>
      </c>
      <c r="AE1543">
        <v>1.3852596154877763</v>
      </c>
    </row>
    <row r="1544" spans="23:31" x14ac:dyDescent="0.25">
      <c r="W1544">
        <v>65.400000000000006</v>
      </c>
      <c r="X1544">
        <v>68.514791397755062</v>
      </c>
      <c r="Y1544">
        <v>-3.1147913977550559</v>
      </c>
      <c r="Z1544">
        <v>-3.128219595614425</v>
      </c>
      <c r="AA1544">
        <v>4.2926007746356748E-3</v>
      </c>
      <c r="AB1544">
        <v>-0.84698149019226898</v>
      </c>
      <c r="AC1544">
        <v>2.8115377486332354E-4</v>
      </c>
      <c r="AD1544">
        <v>1.4576525936309466</v>
      </c>
      <c r="AE1544">
        <v>1.3918003934048426</v>
      </c>
    </row>
    <row r="1545" spans="23:31" x14ac:dyDescent="0.25">
      <c r="W1545">
        <v>65.599999999999994</v>
      </c>
      <c r="X1545">
        <v>72.372936625449455</v>
      </c>
      <c r="Y1545">
        <v>-6.7729366254494607</v>
      </c>
      <c r="Z1545">
        <v>-6.8075903383135028</v>
      </c>
      <c r="AA1545">
        <v>5.0904521485387105E-3</v>
      </c>
      <c r="AB1545">
        <v>-1.8424513647994685</v>
      </c>
      <c r="AC1545">
        <v>1.5789636814974501E-3</v>
      </c>
      <c r="AD1545">
        <v>1.4576525936309466</v>
      </c>
      <c r="AE1545">
        <v>1.3986105050610047</v>
      </c>
    </row>
    <row r="1546" spans="23:31" x14ac:dyDescent="0.25">
      <c r="W1546">
        <v>65.599999999999994</v>
      </c>
      <c r="X1546">
        <v>68.619647826352065</v>
      </c>
      <c r="Y1546">
        <v>-3.0196478263520703</v>
      </c>
      <c r="Z1546">
        <v>-3.0323601081351228</v>
      </c>
      <c r="AA1546">
        <v>4.1922071685860426E-3</v>
      </c>
      <c r="AB1546">
        <v>-0.82106843216192582</v>
      </c>
      <c r="AC1546">
        <v>2.580080405816517E-4</v>
      </c>
      <c r="AD1546">
        <v>1.5222105313262397</v>
      </c>
      <c r="AE1546">
        <v>1.4017914375772516</v>
      </c>
    </row>
    <row r="1547" spans="23:31" x14ac:dyDescent="0.25">
      <c r="W1547">
        <v>65.8</v>
      </c>
      <c r="X1547">
        <v>61.617701457550552</v>
      </c>
      <c r="Y1547">
        <v>4.1822985424494448</v>
      </c>
      <c r="Z1547">
        <v>4.2722435753222285</v>
      </c>
      <c r="AA1547">
        <v>2.1053348501086422E-2</v>
      </c>
      <c r="AB1547">
        <v>1.1469548917188523</v>
      </c>
      <c r="AC1547">
        <v>2.57194777132455E-3</v>
      </c>
      <c r="AD1547">
        <v>1.5222105313262397</v>
      </c>
      <c r="AE1547">
        <v>1.4143076345241659</v>
      </c>
    </row>
    <row r="1548" spans="23:31" x14ac:dyDescent="0.25">
      <c r="W1548">
        <v>65.599999999999994</v>
      </c>
      <c r="X1548">
        <v>61.268720336906803</v>
      </c>
      <c r="Y1548">
        <v>4.3312796630931913</v>
      </c>
      <c r="Z1548">
        <v>4.4226770604453449</v>
      </c>
      <c r="AA1548">
        <v>2.0665627651083325E-2</v>
      </c>
      <c r="AB1548">
        <v>1.1875763699515538</v>
      </c>
      <c r="AC1548">
        <v>2.7055029545040581E-3</v>
      </c>
      <c r="AD1548">
        <v>1.5222105313262397</v>
      </c>
      <c r="AE1548">
        <v>1.4157814129813182</v>
      </c>
    </row>
    <row r="1549" spans="23:31" x14ac:dyDescent="0.25">
      <c r="W1549">
        <v>64.5</v>
      </c>
      <c r="X1549">
        <v>60.877101408299787</v>
      </c>
      <c r="Y1549">
        <v>3.6228985917002134</v>
      </c>
      <c r="Z1549">
        <v>3.6987608815787141</v>
      </c>
      <c r="AA1549">
        <v>2.0510190387360683E-2</v>
      </c>
      <c r="AB1549">
        <v>0.99326935582447184</v>
      </c>
      <c r="AC1549">
        <v>1.8780673316476275E-3</v>
      </c>
      <c r="AD1549">
        <v>1.5222105313262397</v>
      </c>
      <c r="AE1549">
        <v>1.4208993904341938</v>
      </c>
    </row>
    <row r="1550" spans="23:31" x14ac:dyDescent="0.25">
      <c r="W1550">
        <v>64.099999999999994</v>
      </c>
      <c r="X1550">
        <v>60.677059391751897</v>
      </c>
      <c r="Y1550">
        <v>3.4229406082480978</v>
      </c>
      <c r="Z1550">
        <v>3.4936511606861842</v>
      </c>
      <c r="AA1550">
        <v>2.0239728921360105E-2</v>
      </c>
      <c r="AB1550">
        <v>0.93831848323244982</v>
      </c>
      <c r="AC1550">
        <v>1.6534563101221981E-3</v>
      </c>
      <c r="AD1550">
        <v>1.5222105313262397</v>
      </c>
      <c r="AE1550">
        <v>1.4255000511195892</v>
      </c>
    </row>
    <row r="1551" spans="23:31" x14ac:dyDescent="0.25">
      <c r="W1551">
        <v>63.7</v>
      </c>
      <c r="X1551">
        <v>60.63133839370002</v>
      </c>
      <c r="Y1551">
        <v>3.0686616062999832</v>
      </c>
      <c r="Z1551">
        <v>3.1298596779980343</v>
      </c>
      <c r="AA1551">
        <v>1.9552976169588312E-2</v>
      </c>
      <c r="AB1551">
        <v>0.8409065850776547</v>
      </c>
      <c r="AC1551">
        <v>1.2820104348423927E-3</v>
      </c>
      <c r="AD1551">
        <v>1.5222105313262397</v>
      </c>
      <c r="AE1551">
        <v>1.4283779242324872</v>
      </c>
    </row>
    <row r="1552" spans="23:31" x14ac:dyDescent="0.25">
      <c r="W1552">
        <v>63.3</v>
      </c>
      <c r="X1552">
        <v>59.141154901498574</v>
      </c>
      <c r="Y1552">
        <v>4.1588450985014234</v>
      </c>
      <c r="Z1552">
        <v>4.2369435980386498</v>
      </c>
      <c r="AA1552">
        <v>1.8432744673160494E-2</v>
      </c>
      <c r="AB1552">
        <v>1.1389995009724601</v>
      </c>
      <c r="AC1552">
        <v>2.2147480487591624E-3</v>
      </c>
      <c r="AD1552">
        <v>1.5519290565282795</v>
      </c>
      <c r="AE1552">
        <v>1.4655597313866553</v>
      </c>
    </row>
    <row r="1553" spans="23:31" x14ac:dyDescent="0.25">
      <c r="W1553">
        <v>63.5</v>
      </c>
      <c r="X1553">
        <v>59.391414024440031</v>
      </c>
      <c r="Y1553">
        <v>4.1085859755599685</v>
      </c>
      <c r="Z1553">
        <v>4.1840607077356822</v>
      </c>
      <c r="AA1553">
        <v>1.8038632191969696E-2</v>
      </c>
      <c r="AB1553">
        <v>1.1250090039659637</v>
      </c>
      <c r="AC1553">
        <v>2.1136278011032049E-3</v>
      </c>
      <c r="AD1553">
        <v>1.5519290565282795</v>
      </c>
      <c r="AE1553">
        <v>1.480711781985649</v>
      </c>
    </row>
    <row r="1554" spans="23:31" x14ac:dyDescent="0.25">
      <c r="W1554">
        <v>63.4</v>
      </c>
      <c r="X1554">
        <v>60.516799889483345</v>
      </c>
      <c r="Y1554">
        <v>2.883200110516654</v>
      </c>
      <c r="Z1554">
        <v>2.9347733822587898</v>
      </c>
      <c r="AA1554">
        <v>1.7573170062773237E-2</v>
      </c>
      <c r="AB1554">
        <v>0.78928799765204816</v>
      </c>
      <c r="AC1554">
        <v>1.0130437691881144E-3</v>
      </c>
      <c r="AD1554">
        <v>1.5519290565282795</v>
      </c>
      <c r="AE1554">
        <v>1.5086658407092468</v>
      </c>
    </row>
    <row r="1555" spans="23:31" x14ac:dyDescent="0.25">
      <c r="W1555">
        <v>63.3</v>
      </c>
      <c r="X1555">
        <v>60.75175529910932</v>
      </c>
      <c r="Y1555">
        <v>2.5482447008906774</v>
      </c>
      <c r="Z1555">
        <v>2.5964112963951465</v>
      </c>
      <c r="AA1555">
        <v>1.8551219358560578E-2</v>
      </c>
      <c r="AB1555">
        <v>0.69794006554487054</v>
      </c>
      <c r="AC1555">
        <v>8.3704420801771861E-4</v>
      </c>
      <c r="AD1555">
        <v>1.5519290565282795</v>
      </c>
      <c r="AE1555">
        <v>1.510019890573624</v>
      </c>
    </row>
    <row r="1556" spans="23:31" x14ac:dyDescent="0.25">
      <c r="W1556">
        <v>61.5</v>
      </c>
      <c r="X1556">
        <v>66.816837825861825</v>
      </c>
      <c r="Y1556">
        <v>-5.3168378258618247</v>
      </c>
      <c r="Z1556">
        <v>-5.3392611420547382</v>
      </c>
      <c r="AA1556">
        <v>4.1997039658353804E-3</v>
      </c>
      <c r="AB1556">
        <v>-1.4456997575053683</v>
      </c>
      <c r="AC1556">
        <v>8.0132733646774592E-4</v>
      </c>
      <c r="AD1556">
        <v>1.5725296242490356</v>
      </c>
      <c r="AE1556">
        <v>1.5216116652997433</v>
      </c>
    </row>
    <row r="1557" spans="23:31" x14ac:dyDescent="0.25">
      <c r="W1557">
        <v>67</v>
      </c>
      <c r="X1557">
        <v>61.234249692798514</v>
      </c>
      <c r="Y1557">
        <v>5.7657503072014862</v>
      </c>
      <c r="Z1557">
        <v>5.7838089570750526</v>
      </c>
      <c r="AA1557">
        <v>3.1222763420419575E-3</v>
      </c>
      <c r="AB1557">
        <v>1.5669159637806767</v>
      </c>
      <c r="AC1557">
        <v>6.9908208404301805E-4</v>
      </c>
      <c r="AD1557">
        <v>1.5725296242490356</v>
      </c>
      <c r="AE1557">
        <v>1.526930808625615</v>
      </c>
    </row>
    <row r="1558" spans="23:31" x14ac:dyDescent="0.25">
      <c r="W1558">
        <v>60</v>
      </c>
      <c r="X1558">
        <v>60.687911583052482</v>
      </c>
      <c r="Y1558">
        <v>-0.68791158305248246</v>
      </c>
      <c r="Z1558">
        <v>-0.69023414852879483</v>
      </c>
      <c r="AA1558">
        <v>3.364895059541833E-3</v>
      </c>
      <c r="AB1558">
        <v>-0.18697147405350176</v>
      </c>
      <c r="AC1558">
        <v>1.0729842886763361E-5</v>
      </c>
      <c r="AD1558">
        <v>1.5725296242490356</v>
      </c>
      <c r="AE1558">
        <v>1.5308529328040448</v>
      </c>
    </row>
    <row r="1559" spans="23:31" x14ac:dyDescent="0.25">
      <c r="W1559">
        <v>59.3</v>
      </c>
      <c r="X1559">
        <v>59.48451439706826</v>
      </c>
      <c r="Y1559">
        <v>-0.18451439706826278</v>
      </c>
      <c r="Z1559">
        <v>-0.18589474036264164</v>
      </c>
      <c r="AA1559">
        <v>7.4254026320827692E-3</v>
      </c>
      <c r="AB1559">
        <v>-5.025271152932595E-2</v>
      </c>
      <c r="AC1559">
        <v>1.7174463007425257E-6</v>
      </c>
      <c r="AD1559">
        <v>1.5725296242490356</v>
      </c>
      <c r="AE1559">
        <v>1.538785176883251</v>
      </c>
    </row>
    <row r="1560" spans="23:31" x14ac:dyDescent="0.25">
      <c r="W1560">
        <v>58.4</v>
      </c>
      <c r="X1560">
        <v>57.32162842326337</v>
      </c>
      <c r="Y1560">
        <v>1.0783715767366289</v>
      </c>
      <c r="Z1560">
        <v>1.0973655679700869</v>
      </c>
      <c r="AA1560">
        <v>1.7308718067937389E-2</v>
      </c>
      <c r="AB1560">
        <v>0.29516897069543674</v>
      </c>
      <c r="AC1560">
        <v>1.3950716630653533E-4</v>
      </c>
      <c r="AD1560">
        <v>1.5725296242490356</v>
      </c>
      <c r="AE1560">
        <v>1.5469435084180014</v>
      </c>
    </row>
    <row r="1561" spans="23:31" x14ac:dyDescent="0.25">
      <c r="W1561">
        <v>57.5</v>
      </c>
      <c r="X1561">
        <v>58.139102422618322</v>
      </c>
      <c r="Y1561">
        <v>-0.63910242261832195</v>
      </c>
      <c r="Z1561">
        <v>-0.64306086574228516</v>
      </c>
      <c r="AA1561">
        <v>6.1556274605368356E-3</v>
      </c>
      <c r="AB1561">
        <v>-0.17394906246425948</v>
      </c>
      <c r="AC1561">
        <v>1.7037483373143839E-5</v>
      </c>
      <c r="AD1561">
        <v>1.5992570753291051</v>
      </c>
      <c r="AE1561">
        <v>1.54796068880135</v>
      </c>
    </row>
    <row r="1562" spans="23:31" x14ac:dyDescent="0.25">
      <c r="W1562">
        <v>56.3</v>
      </c>
      <c r="X1562">
        <v>63.730636791967399</v>
      </c>
      <c r="Y1562">
        <v>-7.4306367919674017</v>
      </c>
      <c r="Z1562">
        <v>-7.5105596385477611</v>
      </c>
      <c r="AA1562">
        <v>1.0641396969961402E-2</v>
      </c>
      <c r="AB1562">
        <v>-2.0270291134574663</v>
      </c>
      <c r="AC1562">
        <v>4.0176509000292727E-3</v>
      </c>
      <c r="AD1562">
        <v>1.5992570753291051</v>
      </c>
      <c r="AE1562">
        <v>1.5650281042335528</v>
      </c>
    </row>
    <row r="1563" spans="23:31" x14ac:dyDescent="0.25">
      <c r="W1563">
        <v>55.5</v>
      </c>
      <c r="X1563">
        <v>63.294282800410343</v>
      </c>
      <c r="Y1563">
        <v>-7.7942828004103433</v>
      </c>
      <c r="Z1563">
        <v>-7.8846030164461212</v>
      </c>
      <c r="AA1563">
        <v>1.1455264881108486E-2</v>
      </c>
      <c r="AB1563">
        <v>-2.1271044471717242</v>
      </c>
      <c r="AC1563">
        <v>4.7664358727088534E-3</v>
      </c>
      <c r="AD1563">
        <v>1.5992570753291051</v>
      </c>
      <c r="AE1563">
        <v>1.5669159637806767</v>
      </c>
    </row>
    <row r="1564" spans="23:31" x14ac:dyDescent="0.25">
      <c r="W1564">
        <v>54.9</v>
      </c>
      <c r="X1564">
        <v>63.185397864095918</v>
      </c>
      <c r="Y1564">
        <v>-8.2853978640959198</v>
      </c>
      <c r="Z1564">
        <v>-8.3874382183486063</v>
      </c>
      <c r="AA1564">
        <v>1.2165854650286344E-2</v>
      </c>
      <c r="AB1564">
        <v>-2.2619456794219976</v>
      </c>
      <c r="AC1564">
        <v>5.7283592518106441E-3</v>
      </c>
      <c r="AD1564">
        <v>1.5992570753291051</v>
      </c>
      <c r="AE1564">
        <v>1.5693584910070466</v>
      </c>
    </row>
    <row r="1565" spans="23:31" x14ac:dyDescent="0.25">
      <c r="W1565">
        <v>53.2</v>
      </c>
      <c r="X1565">
        <v>55.93220800355467</v>
      </c>
      <c r="Y1565">
        <v>-2.7322080035546676</v>
      </c>
      <c r="Z1565">
        <v>-2.7577305221586741</v>
      </c>
      <c r="AA1565">
        <v>9.2548994178109061E-3</v>
      </c>
      <c r="AB1565">
        <v>-0.74480676484625985</v>
      </c>
      <c r="AC1565">
        <v>4.7109046035437562E-4</v>
      </c>
      <c r="AD1565">
        <v>1.6214924498394727</v>
      </c>
      <c r="AE1565">
        <v>1.5930717482579293</v>
      </c>
    </row>
    <row r="1566" spans="23:31" x14ac:dyDescent="0.25">
      <c r="W1566">
        <v>51.3</v>
      </c>
      <c r="X1566">
        <v>55.671276704634941</v>
      </c>
      <c r="Y1566">
        <v>-4.3712767046349441</v>
      </c>
      <c r="Z1566">
        <v>-4.41616719626888</v>
      </c>
      <c r="AA1566">
        <v>1.0165034437976644E-2</v>
      </c>
      <c r="AB1566">
        <v>-1.1921687208759577</v>
      </c>
      <c r="AC1566">
        <v>1.3268713721586842E-3</v>
      </c>
      <c r="AD1566">
        <v>1.6214924498394727</v>
      </c>
      <c r="AE1566">
        <v>1.5996922875319282</v>
      </c>
    </row>
    <row r="1567" spans="23:31" x14ac:dyDescent="0.25">
      <c r="W1567">
        <v>51</v>
      </c>
      <c r="X1567">
        <v>62.861585921771166</v>
      </c>
      <c r="Y1567">
        <v>-11.861585921771166</v>
      </c>
      <c r="Z1567">
        <v>-12.002043296097753</v>
      </c>
      <c r="AA1567">
        <v>1.1702788505374977E-2</v>
      </c>
      <c r="AB1567">
        <v>-3.2375001270277246</v>
      </c>
      <c r="AC1567">
        <v>1.12831065559131E-2</v>
      </c>
      <c r="AD1567">
        <v>1.6214924498394727</v>
      </c>
      <c r="AE1567">
        <v>1.6071158531602143</v>
      </c>
    </row>
    <row r="1568" spans="23:31" x14ac:dyDescent="0.25">
      <c r="W1568">
        <v>48.8</v>
      </c>
      <c r="X1568">
        <v>53.396360911034094</v>
      </c>
      <c r="Y1568">
        <v>-4.5963609110340968</v>
      </c>
      <c r="Z1568">
        <v>-4.6474182986045562</v>
      </c>
      <c r="AA1568">
        <v>1.0986182927796359E-2</v>
      </c>
      <c r="AB1568">
        <v>-1.2540757302252723</v>
      </c>
      <c r="AC1568">
        <v>1.5881784845396883E-3</v>
      </c>
      <c r="AD1568">
        <v>1.6214924498394727</v>
      </c>
      <c r="AE1568">
        <v>1.6080451798694395</v>
      </c>
    </row>
    <row r="1569" spans="23:31" x14ac:dyDescent="0.25">
      <c r="W1569">
        <v>78</v>
      </c>
      <c r="X1569">
        <v>73.760063376606226</v>
      </c>
      <c r="Y1569">
        <v>4.2399366233937741</v>
      </c>
      <c r="Z1569">
        <v>4.3097194117082864</v>
      </c>
      <c r="AA1569">
        <v>1.6191956284886715E-2</v>
      </c>
      <c r="AB1569">
        <v>1.1598851828490364</v>
      </c>
      <c r="AC1569">
        <v>2.0129188619680953E-3</v>
      </c>
      <c r="AD1569">
        <v>1.6445597025796697</v>
      </c>
      <c r="AE1569">
        <v>1.6172875525418255</v>
      </c>
    </row>
    <row r="1570" spans="23:31" x14ac:dyDescent="0.25">
      <c r="W1570">
        <v>71</v>
      </c>
      <c r="X1570">
        <v>71.716938216127403</v>
      </c>
      <c r="Y1570">
        <v>-0.71693821612740294</v>
      </c>
      <c r="Z1570">
        <v>-0.72259029466313507</v>
      </c>
      <c r="AA1570">
        <v>7.8219685172624519E-3</v>
      </c>
      <c r="AB1570">
        <v>-0.1952979782986114</v>
      </c>
      <c r="AC1570">
        <v>2.7335641286391494E-5</v>
      </c>
      <c r="AD1570">
        <v>1.6445597025796697</v>
      </c>
      <c r="AE1570">
        <v>1.6307157277290745</v>
      </c>
    </row>
    <row r="1571" spans="23:31" x14ac:dyDescent="0.25">
      <c r="W1571">
        <v>77</v>
      </c>
      <c r="X1571">
        <v>76.897288082148265</v>
      </c>
      <c r="Y1571">
        <v>0.10271191785173528</v>
      </c>
      <c r="Z1571">
        <v>0.10304015040357228</v>
      </c>
      <c r="AA1571">
        <v>3.1854820722470481E-3</v>
      </c>
      <c r="AB1571">
        <v>2.7914154714470153E-2</v>
      </c>
      <c r="AC1571">
        <v>2.2636907072235779E-7</v>
      </c>
      <c r="AD1571">
        <v>1.6445597025796697</v>
      </c>
      <c r="AE1571">
        <v>1.6321956834667366</v>
      </c>
    </row>
    <row r="1572" spans="23:31" x14ac:dyDescent="0.25">
      <c r="W1572">
        <v>75</v>
      </c>
      <c r="X1572">
        <v>75.065885651758833</v>
      </c>
      <c r="Y1572">
        <v>-6.5885651758833319E-2</v>
      </c>
      <c r="Z1572">
        <v>-6.684212651221344E-2</v>
      </c>
      <c r="AA1572">
        <v>1.430946026544588E-2</v>
      </c>
      <c r="AB1572">
        <v>-1.8006585698262856E-2</v>
      </c>
      <c r="AC1572">
        <v>4.2791028402277698E-7</v>
      </c>
      <c r="AD1572">
        <v>1.6624525291871317</v>
      </c>
      <c r="AE1572">
        <v>1.6413260554739433</v>
      </c>
    </row>
    <row r="1573" spans="23:31" x14ac:dyDescent="0.25">
      <c r="W1573">
        <v>69.8</v>
      </c>
      <c r="X1573">
        <v>72.640160879050086</v>
      </c>
      <c r="Y1573">
        <v>-2.8401608790500887</v>
      </c>
      <c r="Z1573">
        <v>-2.8549617961786282</v>
      </c>
      <c r="AA1573">
        <v>5.1842785246217276E-3</v>
      </c>
      <c r="AB1573">
        <v>-0.77264934559703502</v>
      </c>
      <c r="AC1573">
        <v>2.828250567688862E-4</v>
      </c>
      <c r="AD1573">
        <v>1.6624525291871317</v>
      </c>
      <c r="AE1573">
        <v>1.6462157659210326</v>
      </c>
    </row>
    <row r="1574" spans="23:31" x14ac:dyDescent="0.25">
      <c r="W1574">
        <v>69.2</v>
      </c>
      <c r="X1574">
        <v>72.652853126723343</v>
      </c>
      <c r="Y1574">
        <v>-3.4528531267233404</v>
      </c>
      <c r="Z1574">
        <v>-3.4659063893104047</v>
      </c>
      <c r="AA1574">
        <v>3.7661901738950988E-3</v>
      </c>
      <c r="AB1574">
        <v>-0.93865994754175108</v>
      </c>
      <c r="AC1574">
        <v>3.0280626626102676E-4</v>
      </c>
      <c r="AD1574">
        <v>1.6624525291871317</v>
      </c>
      <c r="AE1574">
        <v>1.6476238415007678</v>
      </c>
    </row>
    <row r="1575" spans="23:31" x14ac:dyDescent="0.25">
      <c r="W1575">
        <v>67.7</v>
      </c>
      <c r="X1575">
        <v>70.358433801109953</v>
      </c>
      <c r="Y1575">
        <v>-2.6584338011099504</v>
      </c>
      <c r="Z1575">
        <v>-2.6961149890575626</v>
      </c>
      <c r="AA1575">
        <v>1.3976105655933414E-2</v>
      </c>
      <c r="AB1575">
        <v>-0.72642862718086965</v>
      </c>
      <c r="AC1575">
        <v>6.7997344384937279E-4</v>
      </c>
      <c r="AD1575">
        <v>1.6624525291871317</v>
      </c>
      <c r="AE1575">
        <v>1.6482547466823618</v>
      </c>
    </row>
    <row r="1576" spans="23:31" x14ac:dyDescent="0.25">
      <c r="W1576">
        <v>67.5</v>
      </c>
      <c r="X1576">
        <v>71.745696007461561</v>
      </c>
      <c r="Y1576">
        <v>-4.2456960074615608</v>
      </c>
      <c r="Z1576">
        <v>-4.2622467414912677</v>
      </c>
      <c r="AA1576">
        <v>3.8831008699227194E-3</v>
      </c>
      <c r="AB1576">
        <v>-1.1542624336114122</v>
      </c>
      <c r="AC1576">
        <v>4.7215522702726741E-4</v>
      </c>
      <c r="AD1576">
        <v>1.6624525291871317</v>
      </c>
      <c r="AE1576">
        <v>1.6544198456154582</v>
      </c>
    </row>
    <row r="1577" spans="23:31" x14ac:dyDescent="0.25">
      <c r="W1577">
        <v>67.7</v>
      </c>
      <c r="X1577">
        <v>71.777708825910935</v>
      </c>
      <c r="Y1577">
        <v>-4.077708825910932</v>
      </c>
      <c r="Z1577">
        <v>-4.0917302725227387</v>
      </c>
      <c r="AA1577">
        <v>3.426776859160016E-3</v>
      </c>
      <c r="AB1577">
        <v>-1.1083385122244067</v>
      </c>
      <c r="AC1577">
        <v>3.839978341355657E-4</v>
      </c>
      <c r="AD1577">
        <v>1.6624525291871317</v>
      </c>
      <c r="AE1577">
        <v>1.6658651523400072</v>
      </c>
    </row>
    <row r="1578" spans="23:31" x14ac:dyDescent="0.25">
      <c r="W1578">
        <v>67</v>
      </c>
      <c r="X1578">
        <v>71.34803412471976</v>
      </c>
      <c r="Y1578">
        <v>-4.34803412471976</v>
      </c>
      <c r="Z1578">
        <v>-4.362295980171325</v>
      </c>
      <c r="AA1578">
        <v>3.2693461233232746E-3</v>
      </c>
      <c r="AB1578">
        <v>-1.1817207364738271</v>
      </c>
      <c r="AC1578">
        <v>4.164090064980738E-4</v>
      </c>
      <c r="AD1578">
        <v>1.6624525291871317</v>
      </c>
      <c r="AE1578">
        <v>1.6909668318587521</v>
      </c>
    </row>
    <row r="1579" spans="23:31" x14ac:dyDescent="0.25">
      <c r="W1579">
        <v>67.400000000000006</v>
      </c>
      <c r="X1579">
        <v>71.620715684233275</v>
      </c>
      <c r="Y1579">
        <v>-4.2207156842332694</v>
      </c>
      <c r="Z1579">
        <v>-4.2341946914459356</v>
      </c>
      <c r="AA1579">
        <v>3.1833697302338284E-3</v>
      </c>
      <c r="AB1579">
        <v>-1.1470683076178378</v>
      </c>
      <c r="AC1579">
        <v>3.8199500487315835E-4</v>
      </c>
      <c r="AD1579">
        <v>1.7064083338107217</v>
      </c>
      <c r="AE1579">
        <v>1.6985750389329386</v>
      </c>
    </row>
    <row r="1580" spans="23:31" x14ac:dyDescent="0.25">
      <c r="W1580">
        <v>67.599999999999994</v>
      </c>
      <c r="X1580">
        <v>71.466064423406024</v>
      </c>
      <c r="Y1580">
        <v>-3.86606442340603</v>
      </c>
      <c r="Z1580">
        <v>-3.8772408984929996</v>
      </c>
      <c r="AA1580">
        <v>2.8825846470646142E-3</v>
      </c>
      <c r="AB1580">
        <v>-1.0505258803798811</v>
      </c>
      <c r="AC1580">
        <v>2.9003913047705404E-4</v>
      </c>
      <c r="AD1580">
        <v>1.7064083338107217</v>
      </c>
      <c r="AE1580">
        <v>1.7112239452228453</v>
      </c>
    </row>
    <row r="1581" spans="23:31" x14ac:dyDescent="0.25">
      <c r="W1581">
        <v>67.599999999999994</v>
      </c>
      <c r="X1581">
        <v>71.135288170716194</v>
      </c>
      <c r="Y1581">
        <v>-3.5352881707161998</v>
      </c>
      <c r="Z1581">
        <v>-3.5449564532513023</v>
      </c>
      <c r="AA1581">
        <v>2.7273346408052878E-3</v>
      </c>
      <c r="AB1581">
        <v>-0.96056925574615515</v>
      </c>
      <c r="AC1581">
        <v>2.2939777053367628E-4</v>
      </c>
      <c r="AD1581">
        <v>1.7064083338107217</v>
      </c>
      <c r="AE1581">
        <v>1.7163051405567877</v>
      </c>
    </row>
    <row r="1582" spans="23:31" x14ac:dyDescent="0.25">
      <c r="W1582">
        <v>67.7</v>
      </c>
      <c r="X1582">
        <v>70.436773887324279</v>
      </c>
      <c r="Y1582">
        <v>-2.7367738873242757</v>
      </c>
      <c r="Z1582">
        <v>-2.7437830021339806</v>
      </c>
      <c r="AA1582">
        <v>2.5545441473516371E-3</v>
      </c>
      <c r="AB1582">
        <v>-0.74354140781083211</v>
      </c>
      <c r="AC1582">
        <v>1.2871877263502133E-4</v>
      </c>
      <c r="AD1582">
        <v>1.7064083338107217</v>
      </c>
      <c r="AE1582">
        <v>1.7215713618229798</v>
      </c>
    </row>
    <row r="1583" spans="23:31" x14ac:dyDescent="0.25">
      <c r="W1583">
        <v>67.5</v>
      </c>
      <c r="X1583">
        <v>70.422632905142791</v>
      </c>
      <c r="Y1583">
        <v>-2.9226329051427911</v>
      </c>
      <c r="Z1583">
        <v>-2.9303418628889943</v>
      </c>
      <c r="AA1583">
        <v>2.6307366535717456E-3</v>
      </c>
      <c r="AB1583">
        <v>-0.79406691161555221</v>
      </c>
      <c r="AC1583">
        <v>1.5119690791397917E-4</v>
      </c>
      <c r="AD1583">
        <v>1.7330844772440364</v>
      </c>
      <c r="AE1583">
        <v>1.7293853162234321</v>
      </c>
    </row>
    <row r="1584" spans="23:31" x14ac:dyDescent="0.25">
      <c r="W1584">
        <v>76.8</v>
      </c>
      <c r="X1584">
        <v>77.063298095505516</v>
      </c>
      <c r="Y1584">
        <v>-0.26329809550551886</v>
      </c>
      <c r="Z1584">
        <v>-0.26403460406136503</v>
      </c>
      <c r="AA1584">
        <v>2.7894395072368991E-3</v>
      </c>
      <c r="AB1584">
        <v>-7.1542663265488193E-2</v>
      </c>
      <c r="AC1584">
        <v>1.3015702096946545E-6</v>
      </c>
      <c r="AD1584">
        <v>1.7330844772440364</v>
      </c>
      <c r="AE1584">
        <v>1.7295979914558901</v>
      </c>
    </row>
    <row r="1585" spans="23:31" x14ac:dyDescent="0.25">
      <c r="W1585">
        <v>76.8</v>
      </c>
      <c r="X1585">
        <v>77.026594513282433</v>
      </c>
      <c r="Y1585">
        <v>-0.22659451328243563</v>
      </c>
      <c r="Z1585">
        <v>-0.22724011205114891</v>
      </c>
      <c r="AA1585">
        <v>2.8410422917168037E-3</v>
      </c>
      <c r="AB1585">
        <v>-6.1571255909068555E-2</v>
      </c>
      <c r="AC1585">
        <v>9.8192121444869448E-7</v>
      </c>
      <c r="AD1585">
        <v>1.7330844772440364</v>
      </c>
      <c r="AE1585">
        <v>1.7408909043978888</v>
      </c>
    </row>
    <row r="1586" spans="23:31" x14ac:dyDescent="0.25">
      <c r="W1586">
        <v>76.5</v>
      </c>
      <c r="X1586">
        <v>76.90874950805663</v>
      </c>
      <c r="Y1586">
        <v>-0.40874950805662991</v>
      </c>
      <c r="Z1586">
        <v>-0.40995495244652602</v>
      </c>
      <c r="AA1586">
        <v>2.9404313393515094E-3</v>
      </c>
      <c r="AB1586">
        <v>-0.11107274632919825</v>
      </c>
      <c r="AC1586">
        <v>3.3075945850605036E-6</v>
      </c>
      <c r="AD1586">
        <v>1.7539324289023792</v>
      </c>
      <c r="AE1586">
        <v>1.7592494449508256</v>
      </c>
    </row>
    <row r="1587" spans="23:31" x14ac:dyDescent="0.25">
      <c r="W1587">
        <v>77</v>
      </c>
      <c r="X1587">
        <v>76.976156481271772</v>
      </c>
      <c r="Y1587">
        <v>2.3843518728227764E-2</v>
      </c>
      <c r="Z1587">
        <v>2.3908611622175613E-2</v>
      </c>
      <c r="AA1587">
        <v>2.7225710541452291E-3</v>
      </c>
      <c r="AB1587">
        <v>6.4784807441778478E-3</v>
      </c>
      <c r="AC1587">
        <v>1.0416381854480404E-8</v>
      </c>
      <c r="AD1587">
        <v>1.7539324289023792</v>
      </c>
      <c r="AE1587">
        <v>1.7706813571898916</v>
      </c>
    </row>
    <row r="1588" spans="23:31" x14ac:dyDescent="0.25">
      <c r="W1588">
        <v>76.3</v>
      </c>
      <c r="X1588">
        <v>77.744283350594884</v>
      </c>
      <c r="Y1588">
        <v>-1.4442833505948869</v>
      </c>
      <c r="Z1588">
        <v>-1.4481579561722953</v>
      </c>
      <c r="AA1588">
        <v>2.6755407177084653E-3</v>
      </c>
      <c r="AB1588">
        <v>-0.39241444871938641</v>
      </c>
      <c r="AC1588">
        <v>3.7555399725321198E-5</v>
      </c>
      <c r="AD1588">
        <v>1.7539324289023792</v>
      </c>
      <c r="AE1588">
        <v>1.7711551379721062</v>
      </c>
    </row>
    <row r="1589" spans="23:31" x14ac:dyDescent="0.25">
      <c r="W1589">
        <v>76.599999999999994</v>
      </c>
      <c r="X1589">
        <v>75.318774758105832</v>
      </c>
      <c r="Y1589">
        <v>1.2812252418941625</v>
      </c>
      <c r="Z1589">
        <v>1.2903324056180168</v>
      </c>
      <c r="AA1589">
        <v>7.0579981438946005E-3</v>
      </c>
      <c r="AB1589">
        <v>0.34887862766174782</v>
      </c>
      <c r="AC1589">
        <v>7.8652712258258888E-5</v>
      </c>
      <c r="AD1589">
        <v>1.7539324289023792</v>
      </c>
      <c r="AE1589">
        <v>1.7742030078439455</v>
      </c>
    </row>
    <row r="1590" spans="23:31" x14ac:dyDescent="0.25">
      <c r="W1590">
        <v>76.400000000000006</v>
      </c>
      <c r="X1590">
        <v>74.503040576892374</v>
      </c>
      <c r="Y1590">
        <v>1.8969594231076314</v>
      </c>
      <c r="Z1590">
        <v>1.9118076828656996</v>
      </c>
      <c r="AA1590">
        <v>7.7666074318790291E-3</v>
      </c>
      <c r="AB1590">
        <v>0.51672793641814063</v>
      </c>
      <c r="AC1590">
        <v>1.8999786201817336E-4</v>
      </c>
      <c r="AD1590">
        <v>1.7539324289023792</v>
      </c>
      <c r="AE1590">
        <v>1.7744290555662372</v>
      </c>
    </row>
    <row r="1591" spans="23:31" x14ac:dyDescent="0.25">
      <c r="W1591">
        <v>75.400000000000006</v>
      </c>
      <c r="X1591">
        <v>75.964703125561371</v>
      </c>
      <c r="Y1591">
        <v>-0.56470312556136548</v>
      </c>
      <c r="Z1591">
        <v>-0.56617606074610194</v>
      </c>
      <c r="AA1591">
        <v>2.6015497419495919E-3</v>
      </c>
      <c r="AB1591">
        <v>-0.15342518901597535</v>
      </c>
      <c r="AC1591">
        <v>5.5816691943224334E-6</v>
      </c>
      <c r="AD1591">
        <v>1.7539324289023792</v>
      </c>
      <c r="AE1591">
        <v>1.8115263198952205</v>
      </c>
    </row>
    <row r="1592" spans="23:31" x14ac:dyDescent="0.25">
      <c r="W1592">
        <v>76.2</v>
      </c>
      <c r="X1592">
        <v>76.947416464895184</v>
      </c>
      <c r="Y1592">
        <v>-0.74741646489518132</v>
      </c>
      <c r="Z1592">
        <v>-0.75062626781772224</v>
      </c>
      <c r="AA1592">
        <v>4.276166529408233E-3</v>
      </c>
      <c r="AB1592">
        <v>-0.20323758679124512</v>
      </c>
      <c r="AC1592">
        <v>1.6126164339391387E-5</v>
      </c>
      <c r="AD1592">
        <v>1.7539324289023792</v>
      </c>
      <c r="AE1592">
        <v>1.8197732450396658</v>
      </c>
    </row>
    <row r="1593" spans="23:31" x14ac:dyDescent="0.25">
      <c r="W1593">
        <v>75.7</v>
      </c>
      <c r="X1593">
        <v>76.389639584668416</v>
      </c>
      <c r="Y1593">
        <v>-0.68963958466841291</v>
      </c>
      <c r="Z1593">
        <v>-0.69311412735072508</v>
      </c>
      <c r="AA1593">
        <v>5.0129445429035642E-3</v>
      </c>
      <c r="AB1593">
        <v>-0.18759630771108018</v>
      </c>
      <c r="AC1593">
        <v>1.6118749902809582E-5</v>
      </c>
      <c r="AD1593">
        <v>1.7539324289023792</v>
      </c>
      <c r="AE1593">
        <v>1.8497422980374481</v>
      </c>
    </row>
    <row r="1594" spans="23:31" x14ac:dyDescent="0.25">
      <c r="W1594">
        <v>75.400000000000006</v>
      </c>
      <c r="X1594">
        <v>76.739172266082377</v>
      </c>
      <c r="Y1594">
        <v>-1.3391722660823717</v>
      </c>
      <c r="Z1594">
        <v>-1.3462573016163617</v>
      </c>
      <c r="AA1594">
        <v>5.2627647965049805E-3</v>
      </c>
      <c r="AB1594">
        <v>-0.36432844419911148</v>
      </c>
      <c r="AC1594">
        <v>6.3840908603430055E-5</v>
      </c>
      <c r="AD1594">
        <v>1.7539324289023792</v>
      </c>
      <c r="AE1594">
        <v>1.8546572337295382</v>
      </c>
    </row>
    <row r="1595" spans="23:31" x14ac:dyDescent="0.25">
      <c r="W1595">
        <v>75.400000000000006</v>
      </c>
      <c r="X1595">
        <v>75.538937924430414</v>
      </c>
      <c r="Y1595">
        <v>-0.13893792443040809</v>
      </c>
      <c r="Z1595">
        <v>-0.13921104537446638</v>
      </c>
      <c r="AA1595">
        <v>1.9619200712605064E-3</v>
      </c>
      <c r="AB1595">
        <v>-3.7736191812615956E-2</v>
      </c>
      <c r="AC1595">
        <v>2.5448234295679011E-7</v>
      </c>
      <c r="AD1595">
        <v>1.7539324289023792</v>
      </c>
      <c r="AE1595">
        <v>1.8878132654780611</v>
      </c>
    </row>
    <row r="1596" spans="23:31" x14ac:dyDescent="0.25">
      <c r="W1596">
        <v>75.400000000000006</v>
      </c>
      <c r="X1596">
        <v>75.173440929325864</v>
      </c>
      <c r="Y1596">
        <v>0.22655907067414205</v>
      </c>
      <c r="Z1596">
        <v>0.22698005804689103</v>
      </c>
      <c r="AA1596">
        <v>1.854732862319952E-3</v>
      </c>
      <c r="AB1596">
        <v>6.1531201951471187E-2</v>
      </c>
      <c r="AC1596">
        <v>6.3956652889809612E-7</v>
      </c>
      <c r="AD1596">
        <v>1.8295749434197284</v>
      </c>
      <c r="AE1596">
        <v>1.8885351229850522</v>
      </c>
    </row>
    <row r="1597" spans="23:31" x14ac:dyDescent="0.25">
      <c r="W1597">
        <v>75.2</v>
      </c>
      <c r="X1597">
        <v>74.786793056951808</v>
      </c>
      <c r="Y1597">
        <v>0.41320694304819483</v>
      </c>
      <c r="Z1597">
        <v>0.41383109033159826</v>
      </c>
      <c r="AA1597">
        <v>1.5082174780666031E-3</v>
      </c>
      <c r="AB1597">
        <v>0.11220344279533401</v>
      </c>
      <c r="AC1597">
        <v>1.7287777116596727E-6</v>
      </c>
      <c r="AD1597">
        <v>1.8295749434197284</v>
      </c>
      <c r="AE1597">
        <v>1.9000273430114378</v>
      </c>
    </row>
    <row r="1598" spans="23:31" x14ac:dyDescent="0.25">
      <c r="W1598">
        <v>75.099999999999994</v>
      </c>
      <c r="X1598">
        <v>72.664519863429788</v>
      </c>
      <c r="Y1598">
        <v>2.4354801365702059</v>
      </c>
      <c r="Z1598">
        <v>2.4641626428038421</v>
      </c>
      <c r="AA1598">
        <v>1.1639859210350623E-2</v>
      </c>
      <c r="AB1598">
        <v>0.66471855308051631</v>
      </c>
      <c r="AC1598">
        <v>4.730591213864938E-4</v>
      </c>
      <c r="AD1598">
        <v>1.8460302671294702</v>
      </c>
      <c r="AE1598">
        <v>1.9298200466540214</v>
      </c>
    </row>
    <row r="1599" spans="23:31" x14ac:dyDescent="0.25">
      <c r="W1599">
        <v>69.2</v>
      </c>
      <c r="X1599">
        <v>71.1297442136798</v>
      </c>
      <c r="Y1599">
        <v>-1.9297442136797969</v>
      </c>
      <c r="Z1599">
        <v>-1.9351191195700324</v>
      </c>
      <c r="AA1599">
        <v>2.7775581543718112E-3</v>
      </c>
      <c r="AB1599">
        <v>-0.5243418785533448</v>
      </c>
      <c r="AC1599">
        <v>6.9615752729404459E-5</v>
      </c>
      <c r="AD1599">
        <v>1.8460302671294702</v>
      </c>
      <c r="AE1599">
        <v>1.957703831793965</v>
      </c>
    </row>
    <row r="1600" spans="23:31" x14ac:dyDescent="0.25">
      <c r="W1600">
        <v>69.099999999999994</v>
      </c>
      <c r="X1600">
        <v>70.931117496246941</v>
      </c>
      <c r="Y1600">
        <v>-1.8311174962469465</v>
      </c>
      <c r="Z1600">
        <v>-1.836137818643067</v>
      </c>
      <c r="AA1600">
        <v>2.7341751502206724E-3</v>
      </c>
      <c r="AB1600">
        <v>-0.49753262479268617</v>
      </c>
      <c r="AC1600">
        <v>6.169725447023254E-5</v>
      </c>
      <c r="AD1600">
        <v>1.8630011940066851</v>
      </c>
      <c r="AE1600">
        <v>1.9873995763421752</v>
      </c>
    </row>
    <row r="1601" spans="23:31" x14ac:dyDescent="0.25">
      <c r="W1601">
        <v>68.8</v>
      </c>
      <c r="X1601">
        <v>70.841615732926883</v>
      </c>
      <c r="Y1601">
        <v>-2.0416157329268856</v>
      </c>
      <c r="Z1601">
        <v>-2.0471078411457881</v>
      </c>
      <c r="AA1601">
        <v>2.6828621865994046E-3</v>
      </c>
      <c r="AB1601">
        <v>-0.55471279421708752</v>
      </c>
      <c r="AC1601">
        <v>7.5250391348147274E-5</v>
      </c>
      <c r="AD1601">
        <v>1.8630011940066851</v>
      </c>
      <c r="AE1601">
        <v>2.0088783044549747</v>
      </c>
    </row>
    <row r="1602" spans="23:31" x14ac:dyDescent="0.25">
      <c r="W1602">
        <v>68.5</v>
      </c>
      <c r="X1602">
        <v>70.466085922422636</v>
      </c>
      <c r="Y1602">
        <v>-1.9660859224226357</v>
      </c>
      <c r="Z1602">
        <v>-1.9688185635262414</v>
      </c>
      <c r="AA1602">
        <v>1.3879598426358034E-3</v>
      </c>
      <c r="AB1602">
        <v>-0.53384467441402994</v>
      </c>
      <c r="AC1602">
        <v>3.6009512927970334E-5</v>
      </c>
      <c r="AD1602">
        <v>1.8630011940066851</v>
      </c>
      <c r="AE1602">
        <v>2.0125882448557744</v>
      </c>
    </row>
    <row r="1603" spans="23:31" x14ac:dyDescent="0.25">
      <c r="W1603">
        <v>68.3</v>
      </c>
      <c r="X1603">
        <v>68.845319528368776</v>
      </c>
      <c r="Y1603">
        <v>-0.54531952836877906</v>
      </c>
      <c r="Z1603">
        <v>-0.54747336255601908</v>
      </c>
      <c r="AA1603">
        <v>3.9341351279217496E-3</v>
      </c>
      <c r="AB1603">
        <v>-0.14825789919595195</v>
      </c>
      <c r="AC1603">
        <v>7.8923114336431581E-6</v>
      </c>
      <c r="AD1603">
        <v>1.8895099603334296</v>
      </c>
      <c r="AE1603">
        <v>2.0154975964929762</v>
      </c>
    </row>
    <row r="1604" spans="23:31" x14ac:dyDescent="0.25">
      <c r="W1604">
        <v>68</v>
      </c>
      <c r="X1604">
        <v>68.712148684842489</v>
      </c>
      <c r="Y1604">
        <v>-0.71214868484248939</v>
      </c>
      <c r="Z1604">
        <v>-0.71505512016402406</v>
      </c>
      <c r="AA1604">
        <v>4.0646311585921385E-3</v>
      </c>
      <c r="AB1604">
        <v>-0.19362700090527504</v>
      </c>
      <c r="AC1604">
        <v>1.3910064329801066E-5</v>
      </c>
      <c r="AD1604">
        <v>1.898648757670367</v>
      </c>
      <c r="AE1604">
        <v>2.0231984461287693</v>
      </c>
    </row>
    <row r="1605" spans="23:31" x14ac:dyDescent="0.25">
      <c r="W1605">
        <v>67.900000000000006</v>
      </c>
      <c r="X1605">
        <v>69.955220125171167</v>
      </c>
      <c r="Y1605">
        <v>-2.0552201251711608</v>
      </c>
      <c r="Z1605">
        <v>-2.058037893265606</v>
      </c>
      <c r="AA1605">
        <v>1.3691526787067397E-3</v>
      </c>
      <c r="AB1605">
        <v>-0.55804172877298741</v>
      </c>
      <c r="AC1605">
        <v>3.8813925602333666E-5</v>
      </c>
      <c r="AD1605">
        <v>1.898648757670367</v>
      </c>
      <c r="AE1605">
        <v>2.0324634015631915</v>
      </c>
    </row>
    <row r="1606" spans="23:31" x14ac:dyDescent="0.25">
      <c r="W1606">
        <v>67.8</v>
      </c>
      <c r="X1606">
        <v>69.668033893284104</v>
      </c>
      <c r="Y1606">
        <v>-1.8680338932841067</v>
      </c>
      <c r="Z1606">
        <v>-1.870464713690879</v>
      </c>
      <c r="AA1606">
        <v>1.2995810019739409E-3</v>
      </c>
      <c r="AB1606">
        <v>-0.50719849443342624</v>
      </c>
      <c r="AC1606">
        <v>3.0432059763897088E-5</v>
      </c>
      <c r="AD1606">
        <v>1.917417123160428</v>
      </c>
      <c r="AE1606">
        <v>2.0336761028285917</v>
      </c>
    </row>
    <row r="1607" spans="23:31" x14ac:dyDescent="0.25">
      <c r="W1607">
        <v>67.599999999999994</v>
      </c>
      <c r="X1607">
        <v>69.554799399214232</v>
      </c>
      <c r="Y1607">
        <v>-1.9547993992142381</v>
      </c>
      <c r="Z1607">
        <v>-1.957402566211627</v>
      </c>
      <c r="AA1607">
        <v>1.3299088508036993E-3</v>
      </c>
      <c r="AB1607">
        <v>-0.5307646559671102</v>
      </c>
      <c r="AC1607">
        <v>3.4104456899954717E-5</v>
      </c>
      <c r="AD1607">
        <v>1.9270603903023944</v>
      </c>
      <c r="AE1607">
        <v>2.0508419978672925</v>
      </c>
    </row>
    <row r="1608" spans="23:31" x14ac:dyDescent="0.25">
      <c r="W1608">
        <v>67.3</v>
      </c>
      <c r="X1608">
        <v>69.330049402344457</v>
      </c>
      <c r="Y1608">
        <v>-2.03004940234446</v>
      </c>
      <c r="Z1608">
        <v>-2.03326216781862</v>
      </c>
      <c r="AA1608">
        <v>1.5801038965898384E-3</v>
      </c>
      <c r="AB1608">
        <v>-0.551265499577686</v>
      </c>
      <c r="AC1608">
        <v>4.3722134800377985E-5</v>
      </c>
      <c r="AD1608">
        <v>1.9368862628682144</v>
      </c>
      <c r="AE1608">
        <v>2.0577445221394957</v>
      </c>
    </row>
    <row r="1609" spans="23:31" x14ac:dyDescent="0.25">
      <c r="W1609">
        <v>67.8</v>
      </c>
      <c r="X1609">
        <v>69.321607506625426</v>
      </c>
      <c r="Y1609">
        <v>-1.5216075066254291</v>
      </c>
      <c r="Z1609">
        <v>-1.5240044940003514</v>
      </c>
      <c r="AA1609">
        <v>1.5728217235325616E-3</v>
      </c>
      <c r="AB1609">
        <v>-0.41319519728766252</v>
      </c>
      <c r="AC1609">
        <v>2.4450117420391899E-5</v>
      </c>
      <c r="AD1609">
        <v>1.9368862628682144</v>
      </c>
      <c r="AE1609">
        <v>2.0604095788866474</v>
      </c>
    </row>
    <row r="1610" spans="23:31" x14ac:dyDescent="0.25">
      <c r="W1610">
        <v>67.2</v>
      </c>
      <c r="X1610">
        <v>68.942335367297517</v>
      </c>
      <c r="Y1610">
        <v>-1.7423353672975139</v>
      </c>
      <c r="Z1610">
        <v>-1.744984330599479</v>
      </c>
      <c r="AA1610">
        <v>1.5180441769679321E-3</v>
      </c>
      <c r="AB1610">
        <v>-0.47312125800930677</v>
      </c>
      <c r="AC1610">
        <v>3.0938298699965005E-5</v>
      </c>
      <c r="AD1610">
        <v>1.9368862628682144</v>
      </c>
      <c r="AE1610">
        <v>2.0632857011993484</v>
      </c>
    </row>
    <row r="1611" spans="23:31" x14ac:dyDescent="0.25">
      <c r="W1611">
        <v>67.099999999999994</v>
      </c>
      <c r="X1611">
        <v>68.605041077040795</v>
      </c>
      <c r="Y1611">
        <v>-1.5050410770408007</v>
      </c>
      <c r="Z1611">
        <v>-1.5074568981720802</v>
      </c>
      <c r="AA1611">
        <v>1.6025805674519046E-3</v>
      </c>
      <c r="AB1611">
        <v>-0.40870264505225873</v>
      </c>
      <c r="AC1611">
        <v>2.4374663795321553E-5</v>
      </c>
      <c r="AD1611">
        <v>1.9368862628682144</v>
      </c>
      <c r="AE1611">
        <v>2.0778948390459817</v>
      </c>
    </row>
    <row r="1612" spans="23:31" x14ac:dyDescent="0.25">
      <c r="W1612">
        <v>71.7</v>
      </c>
      <c r="X1612">
        <v>69.663505880370209</v>
      </c>
      <c r="Y1612">
        <v>2.0364941196297934</v>
      </c>
      <c r="Z1612">
        <v>2.042389182537292</v>
      </c>
      <c r="AA1612">
        <v>2.8863563114736712E-3</v>
      </c>
      <c r="AB1612">
        <v>0.55337769623425836</v>
      </c>
      <c r="AC1612">
        <v>8.0585313610642787E-5</v>
      </c>
      <c r="AD1612">
        <v>1.9368862628682144</v>
      </c>
      <c r="AE1612">
        <v>2.0916661157006167</v>
      </c>
    </row>
    <row r="1613" spans="23:31" x14ac:dyDescent="0.25">
      <c r="W1613">
        <v>71.599999999999994</v>
      </c>
      <c r="X1613">
        <v>69.418602878306416</v>
      </c>
      <c r="Y1613">
        <v>2.1813971216935784</v>
      </c>
      <c r="Z1613">
        <v>2.1882372635307519</v>
      </c>
      <c r="AA1613">
        <v>3.1258684563943437E-3</v>
      </c>
      <c r="AB1613">
        <v>0.59282347474257768</v>
      </c>
      <c r="AC1613">
        <v>1.0018171720370331E-4</v>
      </c>
      <c r="AD1613">
        <v>1.9368862628682144</v>
      </c>
      <c r="AE1613">
        <v>2.1153988094490281</v>
      </c>
    </row>
    <row r="1614" spans="23:31" x14ac:dyDescent="0.25">
      <c r="W1614">
        <v>71.400000000000006</v>
      </c>
      <c r="X1614">
        <v>67.615978506631905</v>
      </c>
      <c r="Y1614">
        <v>3.7840214933681011</v>
      </c>
      <c r="Z1614">
        <v>3.8017935644100476</v>
      </c>
      <c r="AA1614">
        <v>4.6746544074142363E-3</v>
      </c>
      <c r="AB1614">
        <v>1.0291575937744275</v>
      </c>
      <c r="AC1614">
        <v>4.5222599887306602E-4</v>
      </c>
      <c r="AD1614">
        <v>1.9368862628682144</v>
      </c>
      <c r="AE1614">
        <v>2.1228469877916769</v>
      </c>
    </row>
    <row r="1615" spans="23:31" x14ac:dyDescent="0.25">
      <c r="W1615">
        <v>71.2</v>
      </c>
      <c r="X1615">
        <v>69.184698257376752</v>
      </c>
      <c r="Y1615">
        <v>2.0153017426232509</v>
      </c>
      <c r="Z1615">
        <v>2.0207106785815654</v>
      </c>
      <c r="AA1615">
        <v>2.6767493316321844E-3</v>
      </c>
      <c r="AB1615">
        <v>0.54756153022030685</v>
      </c>
      <c r="AC1615">
        <v>7.315515433255299E-5</v>
      </c>
      <c r="AD1615">
        <v>1.9368862628682144</v>
      </c>
      <c r="AE1615">
        <v>2.1262950142791537</v>
      </c>
    </row>
    <row r="1616" spans="23:31" x14ac:dyDescent="0.25">
      <c r="W1616">
        <v>71</v>
      </c>
      <c r="X1616">
        <v>69.132792442169574</v>
      </c>
      <c r="Y1616">
        <v>1.8672075578304259</v>
      </c>
      <c r="Z1616">
        <v>1.8715147709865363</v>
      </c>
      <c r="AA1616">
        <v>2.3014582748082518E-3</v>
      </c>
      <c r="AB1616">
        <v>0.50722861717702294</v>
      </c>
      <c r="AC1616">
        <v>5.3953370285325314E-5</v>
      </c>
      <c r="AD1616">
        <v>1.9368862628682144</v>
      </c>
      <c r="AE1616">
        <v>2.1456215484601868</v>
      </c>
    </row>
    <row r="1617" spans="23:31" x14ac:dyDescent="0.25">
      <c r="W1617">
        <v>78</v>
      </c>
      <c r="X1617">
        <v>68.845175851387367</v>
      </c>
      <c r="Y1617">
        <v>9.1548241486126329</v>
      </c>
      <c r="Z1617">
        <v>9.1777395592318669</v>
      </c>
      <c r="AA1617">
        <v>2.4968469056399342E-3</v>
      </c>
      <c r="AB1617">
        <v>2.4871597907898511</v>
      </c>
      <c r="AC1617">
        <v>1.4076423615343361E-3</v>
      </c>
      <c r="AD1617">
        <v>2.0350728680272758</v>
      </c>
      <c r="AE1617">
        <v>2.1613345971846458</v>
      </c>
    </row>
    <row r="1618" spans="23:31" x14ac:dyDescent="0.25">
      <c r="W1618">
        <v>75</v>
      </c>
      <c r="X1618">
        <v>68.633338507413512</v>
      </c>
      <c r="Y1618">
        <v>6.3666614925864877</v>
      </c>
      <c r="Z1618">
        <v>6.3820021314850379</v>
      </c>
      <c r="AA1618">
        <v>2.4037345307159428E-3</v>
      </c>
      <c r="AB1618">
        <v>1.7295979914558901</v>
      </c>
      <c r="AC1618">
        <v>6.552836727147204E-4</v>
      </c>
      <c r="AD1618">
        <v>2.0350728680272758</v>
      </c>
      <c r="AE1618">
        <v>2.1707724363979048</v>
      </c>
    </row>
    <row r="1619" spans="23:31" x14ac:dyDescent="0.25">
      <c r="W1619">
        <v>73</v>
      </c>
      <c r="X1619">
        <v>68.514295014408347</v>
      </c>
      <c r="Y1619">
        <v>4.4857049855916529</v>
      </c>
      <c r="Z1619">
        <v>4.4964156857229085</v>
      </c>
      <c r="AA1619">
        <v>2.3820529239009635E-3</v>
      </c>
      <c r="AB1619">
        <v>1.2185950255220268</v>
      </c>
      <c r="AC1619">
        <v>3.2233930824633502E-4</v>
      </c>
      <c r="AD1619">
        <v>2.0350728680272758</v>
      </c>
      <c r="AE1619">
        <v>2.2123730793472962</v>
      </c>
    </row>
    <row r="1620" spans="23:31" x14ac:dyDescent="0.25">
      <c r="W1620">
        <v>71</v>
      </c>
      <c r="X1620">
        <v>68.148224531593016</v>
      </c>
      <c r="Y1620">
        <v>2.8517754684069843</v>
      </c>
      <c r="Z1620">
        <v>2.8579248797922787</v>
      </c>
      <c r="AA1620">
        <v>2.1517050461267399E-3</v>
      </c>
      <c r="AB1620">
        <v>0.77462924486736895</v>
      </c>
      <c r="AC1620">
        <v>1.1762870389234927E-4</v>
      </c>
      <c r="AD1620">
        <v>2.0350728680272758</v>
      </c>
      <c r="AE1620">
        <v>2.2156887201378654</v>
      </c>
    </row>
    <row r="1621" spans="23:31" x14ac:dyDescent="0.25">
      <c r="W1621">
        <v>69.900000000000006</v>
      </c>
      <c r="X1621">
        <v>62.148161370314895</v>
      </c>
      <c r="Y1621">
        <v>7.7518386296851105</v>
      </c>
      <c r="Z1621">
        <v>7.8960705548709029</v>
      </c>
      <c r="AA1621">
        <v>1.8266291338647735E-2</v>
      </c>
      <c r="AB1621">
        <v>2.1228469877916769</v>
      </c>
      <c r="AC1621">
        <v>7.6225691987050846E-3</v>
      </c>
      <c r="AD1621">
        <v>2.0350728680272758</v>
      </c>
      <c r="AE1621">
        <v>2.257564830410336</v>
      </c>
    </row>
    <row r="1622" spans="23:31" x14ac:dyDescent="0.25">
      <c r="W1622">
        <v>69.599999999999994</v>
      </c>
      <c r="X1622">
        <v>62.17806301682824</v>
      </c>
      <c r="Y1622">
        <v>7.4219369831717543</v>
      </c>
      <c r="Z1622">
        <v>7.5597348858467228</v>
      </c>
      <c r="AA1622">
        <v>1.8227875018865074E-2</v>
      </c>
      <c r="AB1622">
        <v>2.0324634015631915</v>
      </c>
      <c r="AC1622">
        <v>6.9723331107254686E-3</v>
      </c>
      <c r="AD1622">
        <v>2.0350728680272758</v>
      </c>
      <c r="AE1622">
        <v>2.2586932681662759</v>
      </c>
    </row>
    <row r="1623" spans="23:31" x14ac:dyDescent="0.25">
      <c r="W1623">
        <v>69.400000000000006</v>
      </c>
      <c r="X1623">
        <v>61.632097388602773</v>
      </c>
      <c r="Y1623">
        <v>7.7679026113972327</v>
      </c>
      <c r="Z1623">
        <v>7.9053595936053043</v>
      </c>
      <c r="AA1623">
        <v>1.7387821588693123E-2</v>
      </c>
      <c r="AB1623">
        <v>2.1262950142791537</v>
      </c>
      <c r="AC1623">
        <v>7.2730636698740726E-3</v>
      </c>
      <c r="AD1623">
        <v>2.1134016615055304</v>
      </c>
      <c r="AE1623">
        <v>2.2963060747828341</v>
      </c>
    </row>
    <row r="1624" spans="23:31" x14ac:dyDescent="0.25">
      <c r="W1624">
        <v>69.3</v>
      </c>
      <c r="X1624">
        <v>60.041639588118642</v>
      </c>
      <c r="Y1624">
        <v>9.2583604118813554</v>
      </c>
      <c r="Z1624">
        <v>9.4744550113621031</v>
      </c>
      <c r="AA1624">
        <v>2.2808129778610214E-2</v>
      </c>
      <c r="AB1624">
        <v>2.5412944063712923</v>
      </c>
      <c r="AC1624">
        <v>1.3703361230067629E-2</v>
      </c>
      <c r="AD1624">
        <v>2.1134016615055304</v>
      </c>
      <c r="AE1624">
        <v>2.2981850187170756</v>
      </c>
    </row>
    <row r="1625" spans="23:31" x14ac:dyDescent="0.25">
      <c r="W1625">
        <v>69.099999999999994</v>
      </c>
      <c r="X1625">
        <v>59.885491535257252</v>
      </c>
      <c r="Y1625">
        <v>9.2145084647427424</v>
      </c>
      <c r="Z1625">
        <v>9.4268543752712262</v>
      </c>
      <c r="AA1625">
        <v>2.2525638147706653E-2</v>
      </c>
      <c r="AB1625">
        <v>2.528892135303265</v>
      </c>
      <c r="AC1625">
        <v>1.339799016461689E-2</v>
      </c>
      <c r="AD1625">
        <v>2.1134016615055304</v>
      </c>
      <c r="AE1625">
        <v>2.2983520037331493</v>
      </c>
    </row>
    <row r="1626" spans="23:31" x14ac:dyDescent="0.25">
      <c r="W1626">
        <v>69</v>
      </c>
      <c r="X1626">
        <v>63.596204383909729</v>
      </c>
      <c r="Y1626">
        <v>5.4037956160902709</v>
      </c>
      <c r="Z1626">
        <v>5.5108743547119303</v>
      </c>
      <c r="AA1626">
        <v>1.9430444559148261E-2</v>
      </c>
      <c r="AB1626">
        <v>1.480711781985649</v>
      </c>
      <c r="AC1626">
        <v>3.9495963323938647E-3</v>
      </c>
      <c r="AD1626">
        <v>2.1134016615055304</v>
      </c>
      <c r="AE1626">
        <v>2.3187082482320656</v>
      </c>
    </row>
    <row r="1627" spans="23:31" x14ac:dyDescent="0.25">
      <c r="W1627">
        <v>61.1</v>
      </c>
      <c r="X1627">
        <v>64.93365071715192</v>
      </c>
      <c r="Y1627">
        <v>-3.8336507171519187</v>
      </c>
      <c r="Z1627">
        <v>-3.8488282248322392</v>
      </c>
      <c r="AA1627">
        <v>3.9434099922668452E-3</v>
      </c>
      <c r="AB1627">
        <v>-1.0422726827293183</v>
      </c>
      <c r="AC1627">
        <v>3.9098306332248448E-4</v>
      </c>
      <c r="AD1627">
        <v>2.1134016615055304</v>
      </c>
      <c r="AE1627">
        <v>2.3200043753780446</v>
      </c>
    </row>
    <row r="1628" spans="23:31" x14ac:dyDescent="0.25">
      <c r="W1628">
        <v>63</v>
      </c>
      <c r="X1628">
        <v>63.929900646988187</v>
      </c>
      <c r="Y1628">
        <v>-0.92990064698818742</v>
      </c>
      <c r="Z1628">
        <v>-0.93274282843231049</v>
      </c>
      <c r="AA1628">
        <v>3.0471222693862769E-3</v>
      </c>
      <c r="AB1628">
        <v>-0.25270280013495428</v>
      </c>
      <c r="AC1628">
        <v>1.7743638189343676E-5</v>
      </c>
      <c r="AD1628">
        <v>2.190305027167327</v>
      </c>
      <c r="AE1628">
        <v>2.3450795023836868</v>
      </c>
    </row>
    <row r="1629" spans="23:31" x14ac:dyDescent="0.25">
      <c r="W1629">
        <v>59.2</v>
      </c>
      <c r="X1629">
        <v>62.908851125683015</v>
      </c>
      <c r="Y1629">
        <v>-3.7088511256830117</v>
      </c>
      <c r="Z1629">
        <v>-3.7206919690892377</v>
      </c>
      <c r="AA1629">
        <v>3.1824304469696735E-3</v>
      </c>
      <c r="AB1629">
        <v>-1.0079578673014251</v>
      </c>
      <c r="AC1629">
        <v>2.9487320448243963E-4</v>
      </c>
      <c r="AD1629">
        <v>2.190305027167327</v>
      </c>
      <c r="AE1629">
        <v>2.3767651395376883</v>
      </c>
    </row>
    <row r="1630" spans="23:31" x14ac:dyDescent="0.25">
      <c r="W1630">
        <v>58.2</v>
      </c>
      <c r="X1630">
        <v>61.89421628022248</v>
      </c>
      <c r="Y1630">
        <v>-3.6942162802224772</v>
      </c>
      <c r="Z1630">
        <v>-3.7068366308499066</v>
      </c>
      <c r="AA1630">
        <v>3.4046147387228132E-3</v>
      </c>
      <c r="AB1630">
        <v>-1.0040924510913853</v>
      </c>
      <c r="AC1630">
        <v>3.1311496294027041E-4</v>
      </c>
      <c r="AD1630">
        <v>2.190305027167327</v>
      </c>
      <c r="AE1630">
        <v>2.3802517548746982</v>
      </c>
    </row>
    <row r="1631" spans="23:31" x14ac:dyDescent="0.25">
      <c r="W1631">
        <v>58</v>
      </c>
      <c r="X1631">
        <v>60.801619136209808</v>
      </c>
      <c r="Y1631">
        <v>-2.8016191362098084</v>
      </c>
      <c r="Z1631">
        <v>-2.8152627759810258</v>
      </c>
      <c r="AA1631">
        <v>4.8463112884598522E-3</v>
      </c>
      <c r="AB1631">
        <v>-0.76203485582122676</v>
      </c>
      <c r="AC1631">
        <v>2.570858284101508E-4</v>
      </c>
      <c r="AD1631">
        <v>2.190305027167327</v>
      </c>
      <c r="AE1631">
        <v>2.3937577602240774</v>
      </c>
    </row>
    <row r="1632" spans="23:31" x14ac:dyDescent="0.25">
      <c r="W1632">
        <v>57.4</v>
      </c>
      <c r="X1632">
        <v>59.590646832986835</v>
      </c>
      <c r="Y1632">
        <v>-2.190646832986836</v>
      </c>
      <c r="Z1632">
        <v>-2.2018395273350606</v>
      </c>
      <c r="AA1632">
        <v>5.0833379132633168E-3</v>
      </c>
      <c r="AB1632">
        <v>-0.59592257243141156</v>
      </c>
      <c r="AC1632">
        <v>1.6494883894151581E-4</v>
      </c>
      <c r="AD1632">
        <v>2.190305027167327</v>
      </c>
      <c r="AE1632">
        <v>2.4189995329761125</v>
      </c>
    </row>
    <row r="1633" spans="23:31" x14ac:dyDescent="0.25">
      <c r="W1633">
        <v>55.7</v>
      </c>
      <c r="X1633">
        <v>64.414941888630338</v>
      </c>
      <c r="Y1633">
        <v>-8.7149418886303351</v>
      </c>
      <c r="Z1633">
        <v>-8.7788414113589965</v>
      </c>
      <c r="AA1633">
        <v>7.2788104642125383E-3</v>
      </c>
      <c r="AB1633">
        <v>-2.3733493491301729</v>
      </c>
      <c r="AC1633">
        <v>3.7546008393770603E-3</v>
      </c>
      <c r="AD1633">
        <v>2.190305027167327</v>
      </c>
      <c r="AE1633">
        <v>2.4817952447386307</v>
      </c>
    </row>
    <row r="1634" spans="23:31" x14ac:dyDescent="0.25">
      <c r="W1634">
        <v>52.6</v>
      </c>
      <c r="X1634">
        <v>53.429165992016387</v>
      </c>
      <c r="Y1634">
        <v>-0.82916599201638519</v>
      </c>
      <c r="Z1634">
        <v>-0.84035566815011009</v>
      </c>
      <c r="AA1634">
        <v>1.3315405081228797E-2</v>
      </c>
      <c r="AB1634">
        <v>-0.2264973512414083</v>
      </c>
      <c r="AC1634">
        <v>6.2937517027840067E-5</v>
      </c>
      <c r="AD1634">
        <v>2.190305027167327</v>
      </c>
      <c r="AE1634">
        <v>2.4857662000501244</v>
      </c>
    </row>
    <row r="1635" spans="23:31" x14ac:dyDescent="0.25">
      <c r="W1635">
        <v>58</v>
      </c>
      <c r="X1635">
        <v>53.051359878079637</v>
      </c>
      <c r="Y1635">
        <v>4.9486401219203628</v>
      </c>
      <c r="Z1635">
        <v>4.9833171562714256</v>
      </c>
      <c r="AA1635">
        <v>6.9586248002347049E-3</v>
      </c>
      <c r="AB1635">
        <v>1.3474511210185449</v>
      </c>
      <c r="AC1635">
        <v>1.15661662818772E-3</v>
      </c>
      <c r="AD1635">
        <v>2.190305027167327</v>
      </c>
      <c r="AE1635">
        <v>2.4871597907898511</v>
      </c>
    </row>
    <row r="1636" spans="23:31" x14ac:dyDescent="0.25">
      <c r="W1636">
        <v>49.3</v>
      </c>
      <c r="X1636">
        <v>51.899244431260627</v>
      </c>
      <c r="Y1636">
        <v>-2.5992444312606295</v>
      </c>
      <c r="Z1636">
        <v>-2.6207098943688507</v>
      </c>
      <c r="AA1636">
        <v>8.1907055620109217E-3</v>
      </c>
      <c r="AB1636">
        <v>-0.70818032253711638</v>
      </c>
      <c r="AC1636">
        <v>3.7652010046273533E-4</v>
      </c>
      <c r="AD1636">
        <v>2.349487559997844</v>
      </c>
      <c r="AE1636">
        <v>2.528892135303265</v>
      </c>
    </row>
    <row r="1637" spans="23:31" x14ac:dyDescent="0.25">
      <c r="W1637">
        <v>59.2</v>
      </c>
      <c r="X1637">
        <v>60.088876838483742</v>
      </c>
      <c r="Y1637">
        <v>-0.88887683848373911</v>
      </c>
      <c r="Z1637">
        <v>-0.89174173243988264</v>
      </c>
      <c r="AA1637">
        <v>3.2126947208228123E-3</v>
      </c>
      <c r="AB1637">
        <v>-0.2415745397396051</v>
      </c>
      <c r="AC1637">
        <v>1.7099231720339968E-5</v>
      </c>
      <c r="AD1637">
        <v>2.349487559997844</v>
      </c>
      <c r="AE1637">
        <v>2.5412944063712923</v>
      </c>
    </row>
    <row r="1638" spans="23:31" x14ac:dyDescent="0.25">
      <c r="W1638">
        <v>58</v>
      </c>
      <c r="X1638">
        <v>58.43254409937235</v>
      </c>
      <c r="Y1638">
        <v>-0.43254409937235039</v>
      </c>
      <c r="Z1638">
        <v>-0.43479751486001561</v>
      </c>
      <c r="AA1638">
        <v>5.1826779377780515E-3</v>
      </c>
      <c r="AB1638">
        <v>-0.11767102664204998</v>
      </c>
      <c r="AC1638">
        <v>6.5577866446569354E-6</v>
      </c>
      <c r="AD1638">
        <v>2.349487559997844</v>
      </c>
      <c r="AE1638">
        <v>2.5945361653393384</v>
      </c>
    </row>
    <row r="1639" spans="23:31" x14ac:dyDescent="0.25">
      <c r="W1639">
        <v>56.6</v>
      </c>
      <c r="X1639">
        <v>56.230368842993272</v>
      </c>
      <c r="Y1639">
        <v>0.36963115700672944</v>
      </c>
      <c r="Z1639">
        <v>0.37166691036981803</v>
      </c>
      <c r="AA1639">
        <v>5.477359717242984E-3</v>
      </c>
      <c r="AB1639">
        <v>0.10057083469431317</v>
      </c>
      <c r="AC1639">
        <v>5.0641669343654348E-6</v>
      </c>
      <c r="AD1639">
        <v>2.428517260365656</v>
      </c>
      <c r="AE1639">
        <v>2.595926160751485</v>
      </c>
    </row>
    <row r="1640" spans="23:31" x14ac:dyDescent="0.25">
      <c r="W1640">
        <v>54.9</v>
      </c>
      <c r="X1640">
        <v>54.688173143476938</v>
      </c>
      <c r="Y1640">
        <v>0.21182685652306077</v>
      </c>
      <c r="Z1640">
        <v>0.2129452890107757</v>
      </c>
      <c r="AA1640">
        <v>5.2522058267173823E-3</v>
      </c>
      <c r="AB1640">
        <v>5.7628239052605792E-2</v>
      </c>
      <c r="AC1640">
        <v>1.594067712351263E-6</v>
      </c>
      <c r="AD1640">
        <v>2.428517260365656</v>
      </c>
      <c r="AE1640">
        <v>2.6512256633649991</v>
      </c>
    </row>
    <row r="1641" spans="23:31" x14ac:dyDescent="0.25">
      <c r="W1641">
        <v>52.4</v>
      </c>
      <c r="X1641">
        <v>52.122609072785572</v>
      </c>
      <c r="Y1641">
        <v>0.2773909272144266</v>
      </c>
      <c r="Z1641">
        <v>0.27929267219940357</v>
      </c>
      <c r="AA1641">
        <v>6.8091474437915371E-3</v>
      </c>
      <c r="AB1641">
        <v>7.5524301408344818E-2</v>
      </c>
      <c r="AC1641">
        <v>3.5550095835476961E-6</v>
      </c>
      <c r="AD1641">
        <v>2.428517260365656</v>
      </c>
      <c r="AE1641">
        <v>2.6570820684969787</v>
      </c>
    </row>
    <row r="1642" spans="23:31" x14ac:dyDescent="0.25">
      <c r="W1642">
        <v>50</v>
      </c>
      <c r="X1642">
        <v>49.43652957634378</v>
      </c>
      <c r="Y1642">
        <v>0.56347042365622002</v>
      </c>
      <c r="Z1642">
        <v>0.56829894291684013</v>
      </c>
      <c r="AA1642">
        <v>8.4964424460024016E-3</v>
      </c>
      <c r="AB1642">
        <v>0.15354469166891199</v>
      </c>
      <c r="AC1642">
        <v>1.8366219535673335E-5</v>
      </c>
      <c r="AD1642">
        <v>2.428517260365656</v>
      </c>
      <c r="AE1642">
        <v>2.7013730172603569</v>
      </c>
    </row>
    <row r="1643" spans="23:31" x14ac:dyDescent="0.25">
      <c r="W1643">
        <v>48.2</v>
      </c>
      <c r="X1643">
        <v>47.44597510667829</v>
      </c>
      <c r="Y1643">
        <v>0.75402489332171285</v>
      </c>
      <c r="Z1643">
        <v>0.76213026552729701</v>
      </c>
      <c r="AA1643">
        <v>1.0635153296233157E-2</v>
      </c>
      <c r="AB1643">
        <v>0.20569240981846559</v>
      </c>
      <c r="AC1643">
        <v>4.1345773987332462E-5</v>
      </c>
      <c r="AD1643">
        <v>2.428517260365656</v>
      </c>
      <c r="AE1643">
        <v>2.7751019261193539</v>
      </c>
    </row>
    <row r="1644" spans="23:31" x14ac:dyDescent="0.25">
      <c r="W1644">
        <v>46.6</v>
      </c>
      <c r="X1644">
        <v>55.988273433678344</v>
      </c>
      <c r="Y1644">
        <v>-9.3882734336783429</v>
      </c>
      <c r="Z1644">
        <v>-9.5586459250299924</v>
      </c>
      <c r="AA1644">
        <v>1.7823914881658749E-2</v>
      </c>
      <c r="AB1644">
        <v>-2.5704068641295992</v>
      </c>
      <c r="AC1644">
        <v>1.0899957475910554E-2</v>
      </c>
      <c r="AD1644">
        <v>2.428517260365656</v>
      </c>
      <c r="AE1644">
        <v>2.7849965405942796</v>
      </c>
    </row>
    <row r="1645" spans="23:31" x14ac:dyDescent="0.25">
      <c r="W1645">
        <v>45.4</v>
      </c>
      <c r="X1645">
        <v>54.1023110608877</v>
      </c>
      <c r="Y1645">
        <v>-8.7023110608877019</v>
      </c>
      <c r="Z1645">
        <v>-8.9910963856794979</v>
      </c>
      <c r="AA1645">
        <v>3.2119033364135061E-2</v>
      </c>
      <c r="AB1645">
        <v>-2.4001282471317325</v>
      </c>
      <c r="AC1645">
        <v>1.7378677667877696E-2</v>
      </c>
      <c r="AD1645">
        <v>2.6570161854420777</v>
      </c>
      <c r="AE1645">
        <v>2.8138155914843401</v>
      </c>
    </row>
    <row r="1646" spans="23:31" x14ac:dyDescent="0.25">
      <c r="W1646">
        <v>44.6</v>
      </c>
      <c r="X1646">
        <v>40.920709350008437</v>
      </c>
      <c r="Y1646">
        <v>3.6792906499915645</v>
      </c>
      <c r="Z1646">
        <v>3.7456592508378108</v>
      </c>
      <c r="AA1646">
        <v>1.7718803660904232E-2</v>
      </c>
      <c r="AB1646">
        <v>1.0072957500271091</v>
      </c>
      <c r="AC1646">
        <v>1.6638718848264453E-3</v>
      </c>
      <c r="AD1646">
        <v>2.6570161854420777</v>
      </c>
      <c r="AE1646">
        <v>2.8702261750901301</v>
      </c>
    </row>
    <row r="1647" spans="23:31" x14ac:dyDescent="0.25">
      <c r="W1647">
        <v>44.3</v>
      </c>
      <c r="X1647">
        <v>39.223111236903677</v>
      </c>
      <c r="Y1647">
        <v>5.0768887630963206</v>
      </c>
      <c r="Z1647">
        <v>5.1824440468175297</v>
      </c>
      <c r="AA1647">
        <v>2.0367857861587606E-2</v>
      </c>
      <c r="AB1647">
        <v>1.3918003934048426</v>
      </c>
      <c r="AC1647">
        <v>3.6613694555070945E-3</v>
      </c>
      <c r="AD1647">
        <v>2.6570161854420777</v>
      </c>
      <c r="AE1647">
        <v>2.8775826560347393</v>
      </c>
    </row>
    <row r="1648" spans="23:31" x14ac:dyDescent="0.25">
      <c r="W1648">
        <v>44.5</v>
      </c>
      <c r="X1648">
        <v>38.431416788147679</v>
      </c>
      <c r="Y1648">
        <v>6.0685832118523209</v>
      </c>
      <c r="Z1648">
        <v>6.2111316630429485</v>
      </c>
      <c r="AA1648">
        <v>2.2950479707073396E-2</v>
      </c>
      <c r="AB1648">
        <v>1.6658651523400072</v>
      </c>
      <c r="AC1648">
        <v>5.9260074534391608E-3</v>
      </c>
      <c r="AD1648">
        <v>2.6570161854420777</v>
      </c>
      <c r="AE1648">
        <v>2.9000429716534732</v>
      </c>
    </row>
    <row r="1649" spans="23:31" x14ac:dyDescent="0.25">
      <c r="W1649">
        <v>44.8</v>
      </c>
      <c r="X1649">
        <v>49.270021484330599</v>
      </c>
      <c r="Y1649">
        <v>-4.4700214843306014</v>
      </c>
      <c r="Z1649">
        <v>-4.6646213293685506</v>
      </c>
      <c r="AA1649">
        <v>4.1718251342877773E-2</v>
      </c>
      <c r="AB1649">
        <v>-1.2390071773465654</v>
      </c>
      <c r="AC1649">
        <v>6.0755813289696215E-3</v>
      </c>
      <c r="AD1649">
        <v>2.6570161854420777</v>
      </c>
      <c r="AE1649">
        <v>2.9348453015870097</v>
      </c>
    </row>
    <row r="1650" spans="23:31" x14ac:dyDescent="0.25">
      <c r="W1650">
        <v>45.3</v>
      </c>
      <c r="X1650">
        <v>37.267833527733274</v>
      </c>
      <c r="Y1650">
        <v>8.0321664722667236</v>
      </c>
      <c r="Z1650">
        <v>8.2767986354476264</v>
      </c>
      <c r="AA1650">
        <v>2.9556374868563585E-2</v>
      </c>
      <c r="AB1650">
        <v>2.2123730793472962</v>
      </c>
      <c r="AC1650">
        <v>1.3552047025310671E-2</v>
      </c>
      <c r="AD1650">
        <v>2.6570161854420777</v>
      </c>
      <c r="AE1650">
        <v>3.1043615505390836</v>
      </c>
    </row>
    <row r="1651" spans="23:31" x14ac:dyDescent="0.25">
      <c r="W1651">
        <v>46</v>
      </c>
      <c r="X1651">
        <v>37.225250580779914</v>
      </c>
      <c r="Y1651">
        <v>8.7747494192200861</v>
      </c>
      <c r="Z1651">
        <v>9.0576431358912828</v>
      </c>
      <c r="AA1651">
        <v>3.1232596871720121E-2</v>
      </c>
      <c r="AB1651">
        <v>2.4189995329761125</v>
      </c>
      <c r="AC1651">
        <v>1.7150131808943224E-2</v>
      </c>
      <c r="AD1651">
        <v>2.6570161854420777</v>
      </c>
      <c r="AE1651">
        <v>3.273721789590176</v>
      </c>
    </row>
  </sheetData>
  <conditionalFormatting sqref="I3:I1048576">
    <cfRule type="expression" dxfId="12" priority="1">
      <formula>AND(ISNUMBER(I3),I3&gt;5,I3&lt;=10)</formula>
    </cfRule>
    <cfRule type="expression" dxfId="11" priority="2">
      <formula>AND(ISNUMBER(I3),I3&gt;10)</formula>
    </cfRule>
  </conditionalFormatting>
  <conditionalFormatting sqref="P5">
    <cfRule type="expression" dxfId="10" priority="3">
      <formula>AND(ISNUMBER(P5),P5&lt;0)</formula>
    </cfRule>
  </conditionalFormatting>
  <conditionalFormatting sqref="P21:P1048576">
    <cfRule type="expression" dxfId="9" priority="4">
      <formula>AND(ISNUMBER(P21),P21&gt;$M$12)</formula>
    </cfRule>
  </conditionalFormatting>
  <conditionalFormatting sqref="Q15">
    <cfRule type="expression" dxfId="8" priority="5">
      <formula>AND(ISNUMBER(Q15),Q15&gt;$M$12)</formula>
    </cfRule>
  </conditionalFormatting>
  <conditionalFormatting sqref="AA3:AA1048576">
    <cfRule type="expression" dxfId="7" priority="6">
      <formula>AND(ISNUMBER(AA3),AA3&gt;2*$P$6)</formula>
    </cfRule>
    <cfRule type="expression" dxfId="6" priority="7">
      <formula>AND(ISNUMBER(AA3),AA3&gt;3*$P$6)</formula>
    </cfRule>
  </conditionalFormatting>
  <conditionalFormatting sqref="AB3:AB1048576">
    <cfRule type="expression" dxfId="5" priority="8">
      <formula>AND(ISNUMBER(AB3),ABS(AB3)&gt;2,ABS(AB3)&lt;3)</formula>
    </cfRule>
    <cfRule type="expression" dxfId="4" priority="9">
      <formula>AND(ISNUMBER(AB3),ABS(AB3)&gt;=3)</formula>
    </cfRule>
  </conditionalFormatting>
  <conditionalFormatting sqref="AC3:AC1048576">
    <cfRule type="expression" dxfId="3" priority="12">
      <formula>AND(ISNUMBER(AC3),AC3&gt;4/$M$8,AC3&lt;=0.9)</formula>
    </cfRule>
    <cfRule type="expression" dxfId="2" priority="13">
      <formula>AND(ISNUMBER(AC3),AC3&gt;0.9)</formula>
    </cfRule>
  </conditionalFormatting>
  <conditionalFormatting sqref="AE3:AE1048576">
    <cfRule type="expression" dxfId="1" priority="10">
      <formula>AND(ISNUMBER(AE3),ABS(AE3)&gt;2,ABS(AE3)&lt;3)</formula>
    </cfRule>
    <cfRule type="expression" dxfId="0" priority="11">
      <formula>AND(ISNUMBER(AE3),ABS(AE3)&gt;=3)</formula>
    </cfRule>
  </conditionalFormatting>
  <dataValidations count="1">
    <dataValidation type="list" allowBlank="1" showInputMessage="1" showErrorMessage="1" sqref="B2:B16000" xr:uid="{477BD9AC-8CAD-48D7-B8E6-54CC9920E0E1}">
      <formula1>"TRUE,FALSE"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6</vt:i4>
      </vt:variant>
    </vt:vector>
  </HeadingPairs>
  <TitlesOfParts>
    <vt:vector size="9" baseType="lpstr">
      <vt:lpstr>LAMBDA_functions</vt:lpstr>
      <vt:lpstr>Life Expectancy Data</vt:lpstr>
      <vt:lpstr>Regression</vt:lpstr>
      <vt:lpstr>Regression!All_Xs</vt:lpstr>
      <vt:lpstr>Regression!Allow_Intercept</vt:lpstr>
      <vt:lpstr>Regression!alpha</vt:lpstr>
      <vt:lpstr>Regression!fil</vt:lpstr>
      <vt:lpstr>Regression!Ind_Var_Filter</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2026-06-06T02:17:54Z</dcterms:created>
  <dcterms:modified xsi:type="dcterms:W3CDTF">2026-06-15T20:58:25Z</dcterms:modified>
</cp:coreProperties>
</file>